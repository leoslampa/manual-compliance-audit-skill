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280" windowHeight="14640"/>
  </bookViews>
  <sheets>
    <sheet name="说明" sheetId="1" r:id="rId1"/>
    <sheet name="审核清单(L1-L9)" sheetId="2" r:id="rId2"/>
    <sheet name="升级快检（粗审）" sheetId="3" r:id="rId3"/>
  </sheets>
  <definedNames>
    <definedName name="_xlnm._FilterDatabase" localSheetId="1" hidden="1">'审核清单(L1-L9)'!$A$1:$H$121</definedName>
    <definedName name="_xlnm._FilterDatabase" localSheetId="2" hidden="1">'升级快检（粗审）'!$A$1:$E$9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<sst xmlns="http://schemas.openxmlformats.org/spreadsheetml/2006/main" count="938" uniqueCount="394">
  <si>
    <t>说明书审核清单 · 母版（L1-L9 流程版）· 领域代表版</t>
  </si>
  <si>
    <t>一、用途</t>
  </si>
  <si>
    <t>本表为母版清单的 Excel 衍生视图，新增「领域代表」与「备注说明」两列</t>
  </si>
  <si>
    <t>二、新增两列说明</t>
  </si>
  <si>
    <t>· 领域代表：该项/该子类的唯一跟进人（人/岗），与公司内部领域代表职责一一对应，确保每个项目都有跟进人。
· 备注说明：跟进人填写——分工边界、例外情形、待办提示等自由备注。
· 现阶段内部无对应领域代表承接的项，统一填「待定」，待有人承接后替换（待定单元格已浅黄高亮）。</t>
  </si>
  <si>
    <t>三、层项数汇总（自动统计，勿手改）</t>
  </si>
  <si>
    <t>审核对象</t>
  </si>
  <si>
    <t>项数</t>
  </si>
  <si>
    <t>领域代表=待定数</t>
  </si>
  <si>
    <t>已指派数</t>
  </si>
  <si>
    <t>L1 准入文件</t>
  </si>
  <si>
    <t>L2 产品实物</t>
  </si>
  <si>
    <t>L3 物理载体</t>
  </si>
  <si>
    <t>L4 说明书文本</t>
  </si>
  <si>
    <t>L5 经营主体</t>
  </si>
  <si>
    <t>L6 软件数据</t>
  </si>
  <si>
    <t>L7 受众文化</t>
  </si>
  <si>
    <t>L8 市场宣称</t>
  </si>
  <si>
    <t>L9 动态档案</t>
  </si>
  <si>
    <t>合计</t>
  </si>
  <si>
    <t>四、领域分工参考（仅建议，按贵司实际岗位调整）</t>
  </si>
  <si>
    <t>建议承接职能</t>
  </si>
  <si>
    <t>覆盖内容</t>
  </si>
  <si>
    <t>认证 / 注册</t>
  </si>
  <si>
    <t>认证证书、DoC、测试报告、进口与平台注册</t>
  </si>
  <si>
    <t>硬件 / RF</t>
  </si>
  <si>
    <t>射频、SAR、电池电源、固件、硬件规格实测</t>
  </si>
  <si>
    <t>制造 / 包装 / 丝印</t>
  </si>
  <si>
    <t>设备标识、包装标签、警示回收、载体分工</t>
  </si>
  <si>
    <t>说明书 / 文档</t>
  </si>
  <si>
    <t>合规声明、产品信息、消费者保护、本地化、多语言一致性</t>
  </si>
  <si>
    <t>法务 / 商务</t>
  </si>
  <si>
    <t>主体资质、授权体系、售后能力</t>
  </si>
  <si>
    <t>软件 / 隐私 / App</t>
  </si>
  <si>
    <t>隐私政策、儿童保护、数据安全、用户权利</t>
  </si>
  <si>
    <t>市场 / 本地化</t>
  </si>
  <si>
    <t>宗教合规、儿童适用、文化接受度</t>
  </si>
  <si>
    <t>市场 / 广告</t>
  </si>
  <si>
    <t>广告合规、宣称边界</t>
  </si>
  <si>
    <t>合规 / 流程</t>
  </si>
  <si>
    <t>法规时效、执法与平台、合规档案闭环</t>
  </si>
  <si>
    <t>五、维护规则</t>
  </si>
  <si>
    <t>· 领域代表 / 备注说明属于运营字段，直接在本表维护，无需回写母版。
· 用法：新设国家/项目复制「审核清单(L1-L9)」为该国 sheet，按领域代表分工逐项跟进，在备注说明留痕。</t>
  </si>
  <si>
    <t>子类</t>
  </si>
  <si>
    <t>#</t>
  </si>
  <si>
    <t>检查项</t>
  </si>
  <si>
    <t>审核要点/判定标准</t>
  </si>
  <si>
    <t>证据来源</t>
  </si>
  <si>
    <t>领域代表</t>
  </si>
  <si>
    <t>备注说明</t>
  </si>
  <si>
    <t>1.1 认证证书</t>
  </si>
  <si>
    <t>证书真实性</t>
  </si>
  <si>
    <t>目标国认证证书真实(可在官方库核验:SDPPI/IMDA/FCC等)</t>
  </si>
  <si>
    <t>官方认证库</t>
  </si>
  <si>
    <t>待定</t>
  </si>
  <si>
    <t/>
  </si>
  <si>
    <t>证书有效期</t>
  </si>
  <si>
    <t>证书在有效期内,无过期</t>
  </si>
  <si>
    <t>证书原件</t>
  </si>
  <si>
    <t>型号覆盖</t>
  </si>
  <si>
    <t>证书覆盖的型号/频段与产品一致</t>
  </si>
  <si>
    <t>证书vs产品</t>
  </si>
  <si>
    <t>证书持有人</t>
  </si>
  <si>
    <t>证书持有人为目标国本地实体或授权代表</t>
  </si>
  <si>
    <t>1.2 符合性声明</t>
  </si>
  <si>
    <t>DoC主体</t>
  </si>
  <si>
    <t>DoC声明主体为欧盟/英国/目标国适格实体</t>
  </si>
  <si>
    <t>DoC文本</t>
  </si>
  <si>
    <t>引用指令/标准</t>
  </si>
  <si>
    <t>DoC引用指令/标准正确(非欧盟残留)</t>
  </si>
  <si>
    <t>DoC链接可达</t>
  </si>
  <si>
    <t>DoC完整文本链接可达,不串型号/域名一致</t>
  </si>
  <si>
    <t>实测点击</t>
  </si>
  <si>
    <t>简化DoC</t>
  </si>
  <si>
    <t>简化DoC含完整地址(如用简化版)</t>
  </si>
  <si>
    <t>1.3 测试报告</t>
  </si>
  <si>
    <t>SAR测试报告</t>
  </si>
  <si>
    <t>SAR测试报告存在,按目标国标准(印度1.6@1g等)</t>
  </si>
  <si>
    <t>测试报告</t>
  </si>
  <si>
    <t>EMC/安全报告</t>
  </si>
  <si>
    <t>EMC/电气安全测试报告存在</t>
  </si>
  <si>
    <t>实验室资质</t>
  </si>
  <si>
    <t>测试实验室具目标国认可资质(ILAC等)</t>
  </si>
  <si>
    <t>实验室证书</t>
  </si>
  <si>
    <t>1.4 电池与运输</t>
  </si>
  <si>
    <t>UN38.3</t>
  </si>
  <si>
    <t>电池UN38.3检测报告</t>
  </si>
  <si>
    <t>电池文件</t>
  </si>
  <si>
    <t>纽扣电池检测</t>
  </si>
  <si>
    <t>含纽扣电池则须检测(Reese Law/ACCC)</t>
  </si>
  <si>
    <t>检测报告</t>
  </si>
  <si>
    <t>1.5 进口与注册</t>
  </si>
  <si>
    <t>进口许可/清关</t>
  </si>
  <si>
    <t>进口许可/清关文件(认证准入)</t>
  </si>
  <si>
    <t>清关文件</t>
  </si>
  <si>
    <t>平台注册</t>
  </si>
  <si>
    <t>电商平台产品注册信息合规(如Amazon)</t>
  </si>
  <si>
    <t>平台后台</t>
  </si>
  <si>
    <t>2.1 射频参数</t>
  </si>
  <si>
    <t>频段覆盖</t>
  </si>
  <si>
    <t>硬件频段与目标国运营商实际频段匹配</t>
  </si>
  <si>
    <t>硬件规格</t>
  </si>
  <si>
    <t>最大发射功率</t>
  </si>
  <si>
    <t>各频段最大发射功率标注且合规</t>
  </si>
  <si>
    <t>频段合规</t>
  </si>
  <si>
    <t>频段使用不违规(5GHz室内限制等)</t>
  </si>
  <si>
    <t>2.2 辐射安全</t>
  </si>
  <si>
    <t>SAR实测值</t>
  </si>
  <si>
    <t>SAR实测值按目标国标准,非CE值</t>
  </si>
  <si>
    <t>测试标准/距离</t>
  </si>
  <si>
    <t>SAR测试标准/距离明确且与指引一致</t>
  </si>
  <si>
    <t>2.3 电池与电源</t>
  </si>
  <si>
    <t>电池型号</t>
  </si>
  <si>
    <t>电池型号/容量与说明书一致</t>
  </si>
  <si>
    <t>实物</t>
  </si>
  <si>
    <t>纽扣电池有无</t>
  </si>
  <si>
    <t>确认是否含纽扣电池</t>
  </si>
  <si>
    <t>插头/电压</t>
  </si>
  <si>
    <t>插头类型/输入电压/计量单位本地化</t>
  </si>
  <si>
    <t>2.4 软件固件</t>
  </si>
  <si>
    <t>OS版本</t>
  </si>
  <si>
    <t>OS版本不落后(非Android 7.1.1类过旧)</t>
  </si>
  <si>
    <t>固件信息</t>
  </si>
  <si>
    <t>安全更新机制</t>
  </si>
  <si>
    <t>OTA/安全更新机制(RED 2022/30)</t>
  </si>
  <si>
    <t>2.5 硬件规格</t>
  </si>
  <si>
    <t>存储/摄像头/防水</t>
  </si>
  <si>
    <t>存储/摄像头/防水实测与宣称一致</t>
  </si>
  <si>
    <t>实测</t>
  </si>
  <si>
    <t>3.1 设备标识</t>
  </si>
  <si>
    <t>认证标志</t>
  </si>
  <si>
    <t>设备label含正确认证标志(CE/FCC ID等)</t>
  </si>
  <si>
    <t>实物核验</t>
  </si>
  <si>
    <t>型号/批次</t>
  </si>
  <si>
    <t>设备label型号/批次SN正确</t>
  </si>
  <si>
    <t>产地标识</t>
  </si>
  <si>
    <t>设备/包装产地标注(如适用)</t>
  </si>
  <si>
    <t>3.2 包装标签</t>
  </si>
  <si>
    <t>法定标签</t>
  </si>
  <si>
    <t>包装法定标签(品名/制造商/进口商)</t>
  </si>
  <si>
    <t>包装核验</t>
  </si>
  <si>
    <t>副标签</t>
  </si>
  <si>
    <t>本地语言副标签(nhãn phụ类)</t>
  </si>
  <si>
    <t>3.3 警示与回收</t>
  </si>
  <si>
    <t>警示语</t>
  </si>
  <si>
    <t>包装警示语(纽扣电池/儿童)</t>
  </si>
  <si>
    <t>回收符号</t>
  </si>
  <si>
    <t>回收符号(RAEE/回收)正确</t>
  </si>
  <si>
    <t>3.4 载体一致性</t>
  </si>
  <si>
    <t>三载体分工</t>
  </si>
  <si>
    <t>认证标志在设备/包装(非说明书),载体正确</t>
  </si>
  <si>
    <t>三载体原则</t>
  </si>
  <si>
    <t>4.1 合规声明</t>
  </si>
  <si>
    <t>认证声明</t>
  </si>
  <si>
    <t>目标国认证声明正确,无欧盟CE/RED残留</t>
  </si>
  <si>
    <t>说明书文本</t>
  </si>
  <si>
    <t>DoC声明主体/引用指令正确(欧盟/英国/目标国)</t>
  </si>
  <si>
    <t>SAR声明</t>
  </si>
  <si>
    <t>SAR按目标国口径声明,非CE值</t>
  </si>
  <si>
    <t>WEEE/回收</t>
  </si>
  <si>
    <t>目标国回收要求,非欧盟WEEE残留</t>
  </si>
  <si>
    <t>适配器口径</t>
  </si>
  <si>
    <t>电源适配器按目标国认证(CE/SNI/SAFETY Mark/BIS/EESS)</t>
  </si>
  <si>
    <t>4.2 产品信息</t>
  </si>
  <si>
    <t>频段/功率表</t>
  </si>
  <si>
    <t>频段表含目标国频段,最大功率标注</t>
  </si>
  <si>
    <t>参数与实物一致</t>
  </si>
  <si>
    <t>规格参数与硬件一致(电池/摄像头/存储/频段)</t>
  </si>
  <si>
    <t>说明书vs硬件</t>
  </si>
  <si>
    <t>型号/版本字符</t>
  </si>
  <si>
    <t>型号字符正确(非Epsilon类错误),文件名与正文一致</t>
  </si>
  <si>
    <t>规格信息完整</t>
  </si>
  <si>
    <t>产品参数完整(型号/电池/摄像头/存储/接口)</t>
  </si>
  <si>
    <t>4.3 消费者保护</t>
  </si>
  <si>
    <t>保修条款</t>
  </si>
  <si>
    <t>保修期符合目标国法定(西班牙3年/欧盟2年/澳洲Reg90等),不排除法定权利</t>
  </si>
  <si>
    <t>法定权利保留</t>
  </si>
  <si>
    <t>明示不排除/限制法定保证(ACL s.64/CPA/UUPK等)</t>
  </si>
  <si>
    <t>争议解决渠道</t>
  </si>
  <si>
    <t>投诉/争议解决途径(TTPM/消协/消费者委员会)</t>
  </si>
  <si>
    <t>配件供应承诺</t>
  </si>
  <si>
    <t>维修设施与配件供应承诺(CPA s.37类)</t>
  </si>
  <si>
    <t>保修卡格式</t>
  </si>
  <si>
    <t>保修卡/发票要求符合目标国法定格式</t>
  </si>
  <si>
    <t>兜底条款</t>
  </si>
  <si>
    <t>当地法律优先兜底合理,不与法定权利冲突</t>
  </si>
  <si>
    <t>4.4 责任主体信息</t>
  </si>
  <si>
    <t>主体名称地址</t>
  </si>
  <si>
    <t>制造商/进口商/责任人名称地址在文本体现</t>
  </si>
  <si>
    <t>联系方式一致</t>
  </si>
  <si>
    <t>邮箱/电话/地址有效且全篇一致</t>
  </si>
  <si>
    <t>4.5 数据与隐私</t>
  </si>
  <si>
    <t>个人数据声明</t>
  </si>
  <si>
    <t>个人数据处理声明存在</t>
  </si>
  <si>
    <t>隐私政策入口</t>
  </si>
  <si>
    <t>隐私政策入口明确(URL/App路径)</t>
  </si>
  <si>
    <t>权利行使方式</t>
  </si>
  <si>
    <t>数据删除/注销/查阅/更正方式</t>
  </si>
  <si>
    <t>预置应用/权限</t>
  </si>
  <si>
    <t>预置应用与权限说明</t>
  </si>
  <si>
    <t>家长控制功能</t>
  </si>
  <si>
    <t>家长控制功能说明(意大利D.L.123等)</t>
  </si>
  <si>
    <t>4.6 语言与本地化</t>
  </si>
  <si>
    <t>销售国语言</t>
  </si>
  <si>
    <t>说明书以销售国语言提供</t>
  </si>
  <si>
    <t>关键安全信息语言</t>
  </si>
  <si>
    <t>关键安全/警示信息本地语言</t>
  </si>
  <si>
    <t>语言变体</t>
  </si>
  <si>
    <t>变体正确(马来vs印尼语/欧西vs拉美西语)</t>
  </si>
  <si>
    <t>翻译质量</t>
  </si>
  <si>
    <t>无机器翻译错误,母语审校</t>
  </si>
  <si>
    <t>术语一致</t>
  </si>
  <si>
    <t>专业术语全篇一致</t>
  </si>
  <si>
    <t>技术缩写括注</t>
  </si>
  <si>
    <t>技术缩写首次出现括注本地语言</t>
  </si>
  <si>
    <t>4.7 安全与警示</t>
  </si>
  <si>
    <t>基础安全警示</t>
  </si>
  <si>
    <t>电池/充电/温度/使用环境警示</t>
  </si>
  <si>
    <t>儿童安全</t>
  </si>
  <si>
    <t>非玩具/小零件/成人监护/年龄适用</t>
  </si>
  <si>
    <t>医疗设备干扰</t>
  </si>
  <si>
    <t>起搏器/助听器等干扰声明</t>
  </si>
  <si>
    <t>听力安全</t>
  </si>
  <si>
    <t>音量/耳机听力保护</t>
  </si>
  <si>
    <t>防水声明一致性</t>
  </si>
  <si>
    <t>防水口径一致(IPX8 vs ISO 22810),测试条件明确</t>
  </si>
  <si>
    <t>低温灼伤/环境</t>
  </si>
  <si>
    <t>低温灼伤/使用环境温度声明</t>
  </si>
  <si>
    <t>4.8 时效信息</t>
  </si>
  <si>
    <t>网络指引时效</t>
  </si>
  <si>
    <t>2G/3G关停状态,网络指引不过时</t>
  </si>
  <si>
    <t>法规/标准时效</t>
  </si>
  <si>
    <t>引用标准/法规现行有效(ISO 22810 vs GB/T)</t>
  </si>
  <si>
    <t>4.9 文档质量</t>
  </si>
  <si>
    <t>章节完整性</t>
  </si>
  <si>
    <t>无空标题/内容错位/章节缺失</t>
  </si>
  <si>
    <t>占位符/注记残留</t>
  </si>
  <si>
    <t>无占位符(SAT)/工艺注记/草稿残留</t>
  </si>
  <si>
    <t>修订记录/版本</t>
  </si>
  <si>
    <t>修订记录/版本日期标识</t>
  </si>
  <si>
    <t>页码连续性</t>
  </si>
  <si>
    <t>页码/章节连续</t>
  </si>
  <si>
    <t>版权/商标/开源</t>
  </si>
  <si>
    <t>商标声明/版权页/开源软件许可</t>
  </si>
  <si>
    <t>4.10 链接与可获取性</t>
  </si>
  <si>
    <t>URL/QR可达</t>
  </si>
  <si>
    <t>URL/QR可达,指向正确</t>
  </si>
  <si>
    <t>域名一致</t>
  </si>
  <si>
    <t>链接域名全篇一致(非双域名)</t>
  </si>
  <si>
    <t>链接不串文件</t>
  </si>
  <si>
    <t>链接指向正确型号文件(不串型号)</t>
  </si>
  <si>
    <t>客服信息一致</t>
  </si>
  <si>
    <t>客服邮箱/电话全篇一致</t>
  </si>
  <si>
    <t>4.11 多语言一致</t>
  </si>
  <si>
    <t>数值一致</t>
  </si>
  <si>
    <t>跨语言数值一致(SAR值等)</t>
  </si>
  <si>
    <t>全语言diff</t>
  </si>
  <si>
    <t>条款一致</t>
  </si>
  <si>
    <t>跨语言条款内容一致</t>
  </si>
  <si>
    <t>无串版</t>
  </si>
  <si>
    <t>无跨语言串版(德语段混入他国法)</t>
  </si>
  <si>
    <t>章节覆盖完整</t>
  </si>
  <si>
    <t>各语言章节覆盖完整(不缺失)</t>
  </si>
  <si>
    <t>4.12 载体一致性</t>
  </si>
  <si>
    <t>纸质版最低信息</t>
  </si>
  <si>
    <t>纸质版含最低必要信息(SAR/隐私/认证)</t>
  </si>
  <si>
    <t>纸质vs电子</t>
  </si>
  <si>
    <t>电子版全量</t>
  </si>
  <si>
    <t>电子版全量覆盖(多语言/完整条款)</t>
  </si>
  <si>
    <t>纸质QR指引</t>
  </si>
  <si>
    <t>纸质版QR指引电子版可用</t>
  </si>
  <si>
    <t>5.1 主体资质</t>
  </si>
  <si>
    <t>进口商/制造商注册</t>
  </si>
  <si>
    <t>进口商/制造商主体注册有效(目标国)</t>
  </si>
  <si>
    <t>工商查询</t>
  </si>
  <si>
    <t>责任人主体</t>
  </si>
  <si>
    <t>欧盟GPSR责任人/英国经济经营者主体存在</t>
  </si>
  <si>
    <t>注册查询</t>
  </si>
  <si>
    <t>5.2 授权体系</t>
  </si>
  <si>
    <t>授权文件</t>
  </si>
  <si>
    <t>GPSR责任人/英国经营者授权书</t>
  </si>
  <si>
    <t>代理授权</t>
  </si>
  <si>
    <t>授权代表/代理授权关系清晰</t>
  </si>
  <si>
    <t>5.3 售后能力</t>
  </si>
  <si>
    <t>网点存在</t>
  </si>
  <si>
    <t>本地保修服务网点实际存在</t>
  </si>
  <si>
    <t>网点核实</t>
  </si>
  <si>
    <t>服务范围</t>
  </si>
  <si>
    <t>售后覆盖范围/服务承诺明确</t>
  </si>
  <si>
    <t>6.1 隐私政策</t>
  </si>
  <si>
    <t>隐私政策全文</t>
  </si>
  <si>
    <t>App隐私政策全文核验(非仅入口)</t>
  </si>
  <si>
    <t>App/后端</t>
  </si>
  <si>
    <t>数据流告知</t>
  </si>
  <si>
    <t>采集/使用/共享的数据流告知完整</t>
  </si>
  <si>
    <t>数据流审计</t>
  </si>
  <si>
    <t>6.2 儿童保护</t>
  </si>
  <si>
    <t>家长同意落地</t>
  </si>
  <si>
    <t>绑定流程实测是否采集家长同意</t>
  </si>
  <si>
    <t>App实测</t>
  </si>
  <si>
    <t>儿童年龄界定</t>
  </si>
  <si>
    <t>儿童年龄界定符合目标国(13/14/16/18岁)</t>
  </si>
  <si>
    <t>6.3 数据安全</t>
  </si>
  <si>
    <t>传输/存储</t>
  </si>
  <si>
    <t>数据传输加密/存储安全</t>
  </si>
  <si>
    <t>安全审计</t>
  </si>
  <si>
    <t>泄露响应</t>
  </si>
  <si>
    <t>数据泄露通知机制(各国时限)</t>
  </si>
  <si>
    <t>跨境传输</t>
  </si>
  <si>
    <t>跨境传输合规(目标国限制)</t>
  </si>
  <si>
    <t>6.4 用户权利</t>
  </si>
  <si>
    <t>查阅/删除</t>
  </si>
  <si>
    <t>用户查阅/删除/更正/注销权利可行使</t>
  </si>
  <si>
    <t>7.1 宗教合规</t>
  </si>
  <si>
    <t>宗教敏感图像</t>
  </si>
  <si>
    <t>宗教敏感图像/符号排查(伊斯兰/佛教/印度教)</t>
  </si>
  <si>
    <t>视觉核验</t>
  </si>
  <si>
    <t>表带材质</t>
  </si>
  <si>
    <t>真皮vs合成声明(伊斯兰市场)</t>
  </si>
  <si>
    <t>实物/文本</t>
  </si>
  <si>
    <t>附送物Halal</t>
  </si>
  <si>
    <t>附送食品/日用品须Halal(伊斯兰市场)</t>
  </si>
  <si>
    <t>附送物</t>
  </si>
  <si>
    <t>宗教功能</t>
  </si>
  <si>
    <t>祈祷提醒/历法功能准确</t>
  </si>
  <si>
    <t>功能实测</t>
  </si>
  <si>
    <t>宗教字样</t>
  </si>
  <si>
    <t>清真/Halal字样不得滥用</t>
  </si>
  <si>
    <t>文本</t>
  </si>
  <si>
    <t>7.2 儿童适用</t>
  </si>
  <si>
    <t>年龄标注</t>
  </si>
  <si>
    <t>适用年龄标注(如4-12岁)</t>
  </si>
  <si>
    <t>产品</t>
  </si>
  <si>
    <t>小零件测试</t>
  </si>
  <si>
    <t>小零件测试(EN71/ASTM F963,若玩具功能)</t>
  </si>
  <si>
    <t>化学物质</t>
  </si>
  <si>
    <t>化学物质(REACH/铅/邻苯/CPSIA)</t>
  </si>
  <si>
    <t>7.3 文化接受度</t>
  </si>
  <si>
    <t>数字/颜色禁忌</t>
  </si>
  <si>
    <t>数字/颜色/手势文化禁忌(4/13/7等)</t>
  </si>
  <si>
    <t>文化调研</t>
  </si>
  <si>
    <t>图像人物</t>
  </si>
  <si>
    <t>人物/手势图像文化敏感性</t>
  </si>
  <si>
    <t>8.1 广告合规</t>
  </si>
  <si>
    <t>详情页合规</t>
  </si>
  <si>
    <t>电商详情页/宣传用语合规(广告法)</t>
  </si>
  <si>
    <t>广告审查</t>
  </si>
  <si>
    <t>绝对化用语</t>
  </si>
  <si>
    <t>无绝对化用语(最好/第一/最安全等)</t>
  </si>
  <si>
    <t>8.2 宣称边界</t>
  </si>
  <si>
    <t>医疗宣称规避</t>
  </si>
  <si>
    <t>健康/心率/体温数据声明非医疗设备</t>
  </si>
  <si>
    <t>宣称与认证一致</t>
  </si>
  <si>
    <t>产品宣称与说明书/认证一致</t>
  </si>
  <si>
    <t>多源比对</t>
  </si>
  <si>
    <t>9.1 法规时效</t>
  </si>
  <si>
    <t>时效台账</t>
  </si>
  <si>
    <t>目标国新规时效台账(2G/3G/电池法规等)</t>
  </si>
  <si>
    <t>法规订阅</t>
  </si>
  <si>
    <t>季度复核</t>
  </si>
  <si>
    <t>法规时效季度复核机制</t>
  </si>
  <si>
    <t>台账</t>
  </si>
  <si>
    <t>9.2 执法与平台</t>
  </si>
  <si>
    <t>执法口径</t>
  </si>
  <si>
    <t>监管执法重点(ACCC纽扣电池等)</t>
  </si>
  <si>
    <t>执法通报</t>
  </si>
  <si>
    <t>平台字段</t>
  </si>
  <si>
    <t>电商平台强制字段(Amazon GPSR)</t>
  </si>
  <si>
    <t>平台政策</t>
  </si>
  <si>
    <t>9.3 合规档案</t>
  </si>
  <si>
    <t>证据链归档</t>
  </si>
  <si>
    <t>认证报告/测试报告/批次追溯归档</t>
  </si>
  <si>
    <t>档案</t>
  </si>
  <si>
    <t>整改跟踪</t>
  </si>
  <si>
    <t>整改项跟踪闭环(上次整改落地)</t>
  </si>
  <si>
    <t>整改台账</t>
  </si>
  <si>
    <t>复核项</t>
  </si>
  <si>
    <t>审核要点</t>
  </si>
  <si>
    <t>四置换复核</t>
  </si>
  <si>
    <t>认证声明 / 责任主体 / SAR / 保修是否随版本变化</t>
  </si>
  <si>
    <t>语言同步</t>
  </si>
  <si>
    <t>新版语言是否全部同步，多语言版本一致</t>
  </si>
  <si>
    <t>失效信息</t>
  </si>
  <si>
    <t>2G / 3G / 法规时效是否过时</t>
  </si>
  <si>
    <t>认证有效期</t>
  </si>
  <si>
    <t>证书是否仍有效，是否更新</t>
  </si>
  <si>
    <t>整改落地复核（不可省）</t>
  </si>
  <si>
    <t>上次首次审核 / 上版整改项是否已落地</t>
  </si>
  <si>
    <t>DoC 链接</t>
  </si>
  <si>
    <t>证书链接是否仍可达</t>
  </si>
  <si>
    <t>儿童 / 数据</t>
  </si>
  <si>
    <t>儿童数据条款与隐私政策是否更新</t>
  </si>
  <si>
    <t>法规时效</t>
  </si>
  <si>
    <t>目标国新规是否影响现有文本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</si>
</sst>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7F6000"/>
      <name val="微软雅黑"/>
      <charset val="134"/>
    </font>
    <font>
      <b/>
      <sz val="14"/>
      <color rgb="FF2F5597"/>
      <name val="微软雅黑"/>
      <charset val="134"/>
    </font>
    <font>
      <b/>
      <sz val="11"/>
      <color rgb="FF2F5597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showGridLines="0" tabSelected="1" topLeftCell="A15" workbookViewId="0">
      <selection activeCell="A37" sqref="A37:C37"/>
    </sheetView>
  </sheetViews>
  <sheetFormatPr defaultColWidth="9" defaultRowHeight="16.8" outlineLevelCol="3"/>
  <cols>
    <col min="1" max="1" width="37.0096153846154" customWidth="1"/>
    <col min="2" max="2" width="22.7596153846154" customWidth="1"/>
    <col min="3" max="3" width="53.0384615384615" customWidth="1"/>
  </cols>
  <sheetData>
    <row r="1" ht="20.4" spans="1:4">
      <c r="A1" s="9" t="s">
        <v>0</v>
      </c>
    </row>
    <row r="3" spans="1:4">
      <c r="A3" s="10" t="s">
        <v>1</v>
      </c>
    </row>
    <row r="4" ht="24" customHeight="1" spans="1:4">
      <c r="A4" s="11" t="s">
        <v>2</v>
      </c>
      <c r="B4" s="11"/>
      <c r="C4" s="11"/>
    </row>
    <row r="6" spans="1:4">
      <c r="A6" s="10" t="s">
        <v>3</v>
      </c>
    </row>
    <row r="7" ht="66" customHeight="1" spans="1:4">
      <c r="A7" s="11" t="s">
        <v>4</v>
      </c>
      <c r="B7" s="11"/>
      <c r="C7" s="11"/>
    </row>
    <row r="9" spans="1:4">
      <c r="A9" s="10" t="s">
        <v>5</v>
      </c>
    </row>
    <row r="10" spans="1:4">
      <c r="A10" s="1" t="s">
        <v>6</v>
      </c>
      <c r="B10" s="1" t="s">
        <v>7</v>
      </c>
      <c r="C10" s="1" t="s">
        <v>8</v>
      </c>
      <c r="D10" s="1" t="s">
        <v>9</v>
      </c>
    </row>
    <row r="11" spans="1:4">
      <c r="A11" s="3" t="s">
        <v>10</v>
      </c>
      <c r="B11" s="2">
        <f>COUNTIF('审核清单(L1-L9)'!$A$2:$A$121,A11)</f>
        <v>15</v>
      </c>
      <c r="C11" s="2">
        <f>COUNTIFS('审核清单(L1-L9)'!$A$2:$A$121,A11,'审核清单(L1-L9)'!$G$2:$G$121,"待定")</f>
        <v>15</v>
      </c>
      <c r="D11" s="2">
        <f t="shared" ref="D11:D19" si="0">B11-C11</f>
        <v>0</v>
      </c>
    </row>
    <row r="12" spans="1:4">
      <c r="A12" s="3" t="s">
        <v>11</v>
      </c>
      <c r="B12" s="2">
        <f>COUNTIF('审核清单(L1-L9)'!$A$2:$A$121,A12)</f>
        <v>11</v>
      </c>
      <c r="C12" s="2">
        <f>COUNTIFS('审核清单(L1-L9)'!$A$2:$A$121,A12,'审核清单(L1-L9)'!$G$2:$G$121,"待定")</f>
        <v>11</v>
      </c>
      <c r="D12" s="2">
        <f t="shared" si="0"/>
        <v>0</v>
      </c>
    </row>
    <row r="13" spans="1:4">
      <c r="A13" s="3" t="s">
        <v>12</v>
      </c>
      <c r="B13" s="2">
        <f>COUNTIF('审核清单(L1-L9)'!$A$2:$A$121,A13)</f>
        <v>8</v>
      </c>
      <c r="C13" s="2">
        <f>COUNTIFS('审核清单(L1-L9)'!$A$2:$A$121,A13,'审核清单(L1-L9)'!$G$2:$G$121,"待定")</f>
        <v>8</v>
      </c>
      <c r="D13" s="2">
        <f t="shared" si="0"/>
        <v>0</v>
      </c>
    </row>
    <row r="14" spans="1:4">
      <c r="A14" s="3" t="s">
        <v>13</v>
      </c>
      <c r="B14" s="2">
        <f>COUNTIF('审核清单(L1-L9)'!$A$2:$A$121,A14)</f>
        <v>52</v>
      </c>
      <c r="C14" s="2">
        <f>COUNTIFS('审核清单(L1-L9)'!$A$2:$A$121,A14,'审核清单(L1-L9)'!$G$2:$G$121,"待定")</f>
        <v>52</v>
      </c>
      <c r="D14" s="2">
        <f t="shared" si="0"/>
        <v>0</v>
      </c>
    </row>
    <row r="15" spans="1:4">
      <c r="A15" s="3" t="s">
        <v>14</v>
      </c>
      <c r="B15" s="2">
        <f>COUNTIF('审核清单(L1-L9)'!$A$2:$A$121,A15)</f>
        <v>6</v>
      </c>
      <c r="C15" s="2">
        <f>COUNTIFS('审核清单(L1-L9)'!$A$2:$A$121,A15,'审核清单(L1-L9)'!$G$2:$G$121,"待定")</f>
        <v>6</v>
      </c>
      <c r="D15" s="2">
        <f t="shared" si="0"/>
        <v>0</v>
      </c>
    </row>
    <row r="16" spans="1:4">
      <c r="A16" s="3" t="s">
        <v>15</v>
      </c>
      <c r="B16" s="2">
        <f>COUNTIF('审核清单(L1-L9)'!$A$2:$A$121,A16)</f>
        <v>8</v>
      </c>
      <c r="C16" s="2">
        <f>COUNTIFS('审核清单(L1-L9)'!$A$2:$A$121,A16,'审核清单(L1-L9)'!$G$2:$G$121,"待定")</f>
        <v>8</v>
      </c>
      <c r="D16" s="2">
        <f t="shared" si="0"/>
        <v>0</v>
      </c>
    </row>
    <row r="17" spans="1:4">
      <c r="A17" s="3" t="s">
        <v>16</v>
      </c>
      <c r="B17" s="2">
        <f>COUNTIF('审核清单(L1-L9)'!$A$2:$A$121,A17)</f>
        <v>10</v>
      </c>
      <c r="C17" s="2">
        <f>COUNTIFS('审核清单(L1-L9)'!$A$2:$A$121,A17,'审核清单(L1-L9)'!$G$2:$G$121,"待定")</f>
        <v>10</v>
      </c>
      <c r="D17" s="2">
        <f t="shared" si="0"/>
        <v>0</v>
      </c>
    </row>
    <row r="18" spans="1:4">
      <c r="A18" s="3" t="s">
        <v>17</v>
      </c>
      <c r="B18" s="2">
        <f>COUNTIF('审核清单(L1-L9)'!$A$2:$A$121,A18)</f>
        <v>4</v>
      </c>
      <c r="C18" s="2">
        <f>COUNTIFS('审核清单(L1-L9)'!$A$2:$A$121,A18,'审核清单(L1-L9)'!$G$2:$G$121,"待定")</f>
        <v>4</v>
      </c>
      <c r="D18" s="2">
        <f t="shared" si="0"/>
        <v>0</v>
      </c>
    </row>
    <row r="19" spans="1:4">
      <c r="A19" s="3" t="s">
        <v>18</v>
      </c>
      <c r="B19" s="2">
        <f>COUNTIF('审核清单(L1-L9)'!$A$2:$A$121,A19)</f>
        <v>6</v>
      </c>
      <c r="C19" s="2">
        <f>COUNTIFS('审核清单(L1-L9)'!$A$2:$A$121,A19,'审核清单(L1-L9)'!$G$2:$G$121,"待定")</f>
        <v>6</v>
      </c>
      <c r="D19" s="2">
        <f t="shared" si="0"/>
        <v>0</v>
      </c>
    </row>
    <row r="20" spans="1:4">
      <c r="A20" s="12" t="s">
        <v>19</v>
      </c>
      <c r="B20" s="13">
        <f>SUM(B11:B19)</f>
        <v>120</v>
      </c>
      <c r="C20" s="13">
        <f>SUM(C11:C19)</f>
        <v>120</v>
      </c>
      <c r="D20" s="13">
        <f>SUM(D11:D19)</f>
        <v>0</v>
      </c>
    </row>
    <row r="22" spans="1:4">
      <c r="A22" s="10" t="s">
        <v>20</v>
      </c>
    </row>
    <row r="23" spans="1:4">
      <c r="A23" s="1" t="s">
        <v>6</v>
      </c>
      <c r="B23" s="1" t="s">
        <v>21</v>
      </c>
      <c r="C23" s="1" t="s">
        <v>22</v>
      </c>
    </row>
    <row r="24" spans="1:4">
      <c r="A24" s="3" t="s">
        <v>10</v>
      </c>
      <c r="B24" s="3" t="s">
        <v>23</v>
      </c>
      <c r="C24" s="3" t="s">
        <v>24</v>
      </c>
    </row>
    <row r="25" spans="1:4">
      <c r="A25" s="3" t="s">
        <v>11</v>
      </c>
      <c r="B25" s="3" t="s">
        <v>25</v>
      </c>
      <c r="C25" s="3" t="s">
        <v>26</v>
      </c>
    </row>
    <row r="26" spans="1:4">
      <c r="A26" s="3" t="s">
        <v>12</v>
      </c>
      <c r="B26" s="3" t="s">
        <v>27</v>
      </c>
      <c r="C26" s="3" t="s">
        <v>28</v>
      </c>
    </row>
    <row r="27" spans="1:4">
      <c r="A27" s="3" t="s">
        <v>13</v>
      </c>
      <c r="B27" s="3" t="s">
        <v>29</v>
      </c>
      <c r="C27" s="3" t="s">
        <v>30</v>
      </c>
    </row>
    <row r="28" spans="1:4">
      <c r="A28" s="3" t="s">
        <v>14</v>
      </c>
      <c r="B28" s="3" t="s">
        <v>31</v>
      </c>
      <c r="C28" s="3" t="s">
        <v>32</v>
      </c>
    </row>
    <row r="29" spans="1:4">
      <c r="A29" s="3" t="s">
        <v>15</v>
      </c>
      <c r="B29" s="3" t="s">
        <v>33</v>
      </c>
      <c r="C29" s="3" t="s">
        <v>34</v>
      </c>
    </row>
    <row r="30" spans="1:4">
      <c r="A30" s="3" t="s">
        <v>16</v>
      </c>
      <c r="B30" s="3" t="s">
        <v>35</v>
      </c>
      <c r="C30" s="3" t="s">
        <v>36</v>
      </c>
    </row>
    <row r="31" spans="1:4">
      <c r="A31" s="3" t="s">
        <v>17</v>
      </c>
      <c r="B31" s="3" t="s">
        <v>37</v>
      </c>
      <c r="C31" s="3" t="s">
        <v>38</v>
      </c>
    </row>
    <row r="32" spans="1:4">
      <c r="A32" s="3" t="s">
        <v>18</v>
      </c>
      <c r="B32" s="3" t="s">
        <v>39</v>
      </c>
      <c r="C32" s="3" t="s">
        <v>40</v>
      </c>
    </row>
    <row r="34" spans="1:3">
      <c r="A34" s="10" t="s">
        <v>41</v>
      </c>
    </row>
    <row r="35" ht="45" customHeight="1" spans="1:3">
      <c r="A35" s="11" t="s">
        <v>42</v>
      </c>
      <c r="B35" s="14"/>
      <c r="C35" s="14"/>
    </row>
    <row r="36" spans="1:3">
      <c r="A36" s="14"/>
      <c r="B36" s="14"/>
      <c r="C36" s="14"/>
    </row>
    <row r="37" spans="1:3">
      <c r="A37" s="14"/>
      <c r="B37" s="14"/>
      <c r="C37" s="14"/>
    </row>
  </sheetData>
  <mergeCells count="5">
    <mergeCell ref="A4:C4"/>
    <mergeCell ref="A7:C7"/>
    <mergeCell ref="A35:C35"/>
    <mergeCell ref="A36:C36"/>
    <mergeCell ref="A37:C3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1"/>
  <sheetViews>
    <sheetView workbookViewId="0">
      <pane ySplit="1" topLeftCell="A2" activePane="bottomLeft" state="frozen"/>
      <selection/>
      <selection pane="bottomLeft" activeCell="J13" sqref="J13"/>
    </sheetView>
  </sheetViews>
  <sheetFormatPr defaultColWidth="9" defaultRowHeight="16.8" outlineLevelCol="7"/>
  <cols>
    <col min="1" max="1" width="16" customWidth="1"/>
    <col min="2" max="2" width="15" customWidth="1"/>
    <col min="3" max="3" width="5" customWidth="1"/>
    <col min="4" max="4" width="26" customWidth="1"/>
    <col min="5" max="5" width="46" customWidth="1"/>
    <col min="6" max="6" width="16" customWidth="1"/>
    <col min="7" max="7" width="14" customWidth="1"/>
    <col min="8" max="8" width="24" customWidth="1"/>
  </cols>
  <sheetData>
    <row r="1" ht="28" customHeight="1" spans="1:8">
      <c r="A1" s="1" t="s">
        <v>6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ht="31" spans="1:8">
      <c r="A2" s="5" t="s">
        <v>10</v>
      </c>
      <c r="B2" s="5" t="s">
        <v>50</v>
      </c>
      <c r="C2" s="5">
        <v>1</v>
      </c>
      <c r="D2" s="6" t="s">
        <v>51</v>
      </c>
      <c r="E2" s="6" t="s">
        <v>52</v>
      </c>
      <c r="F2" s="5" t="s">
        <v>53</v>
      </c>
      <c r="G2" s="4" t="s">
        <v>54</v>
      </c>
      <c r="H2" s="5" t="s">
        <v>55</v>
      </c>
    </row>
    <row r="3" spans="1:8">
      <c r="A3" s="5" t="s">
        <v>10</v>
      </c>
      <c r="B3" s="5" t="s">
        <v>50</v>
      </c>
      <c r="C3" s="5">
        <v>2</v>
      </c>
      <c r="D3" s="6" t="s">
        <v>56</v>
      </c>
      <c r="E3" s="6" t="s">
        <v>57</v>
      </c>
      <c r="F3" s="5" t="s">
        <v>58</v>
      </c>
      <c r="G3" s="4" t="s">
        <v>54</v>
      </c>
      <c r="H3" s="5" t="s">
        <v>55</v>
      </c>
    </row>
    <row r="4" spans="1:8">
      <c r="A4" s="5" t="s">
        <v>10</v>
      </c>
      <c r="B4" s="5" t="s">
        <v>50</v>
      </c>
      <c r="C4" s="5">
        <v>3</v>
      </c>
      <c r="D4" s="6" t="s">
        <v>59</v>
      </c>
      <c r="E4" s="6" t="s">
        <v>60</v>
      </c>
      <c r="F4" s="5" t="s">
        <v>61</v>
      </c>
      <c r="G4" s="4" t="s">
        <v>54</v>
      </c>
      <c r="H4" s="5" t="s">
        <v>55</v>
      </c>
    </row>
    <row r="5" spans="1:8">
      <c r="A5" s="5" t="s">
        <v>10</v>
      </c>
      <c r="B5" s="5" t="s">
        <v>50</v>
      </c>
      <c r="C5" s="5">
        <v>4</v>
      </c>
      <c r="D5" s="6" t="s">
        <v>62</v>
      </c>
      <c r="E5" s="6" t="s">
        <v>63</v>
      </c>
      <c r="F5" s="5" t="s">
        <v>58</v>
      </c>
      <c r="G5" s="4" t="s">
        <v>54</v>
      </c>
      <c r="H5" s="5" t="s">
        <v>55</v>
      </c>
    </row>
    <row r="6" spans="1:8">
      <c r="A6" s="5" t="s">
        <v>10</v>
      </c>
      <c r="B6" s="5" t="s">
        <v>64</v>
      </c>
      <c r="C6" s="5">
        <v>5</v>
      </c>
      <c r="D6" s="6" t="s">
        <v>65</v>
      </c>
      <c r="E6" s="6" t="s">
        <v>66</v>
      </c>
      <c r="F6" s="5" t="s">
        <v>67</v>
      </c>
      <c r="G6" s="4" t="s">
        <v>54</v>
      </c>
      <c r="H6" s="5" t="s">
        <v>55</v>
      </c>
    </row>
    <row r="7" spans="1:8">
      <c r="A7" s="5" t="s">
        <v>10</v>
      </c>
      <c r="B7" s="5" t="s">
        <v>64</v>
      </c>
      <c r="C7" s="5">
        <v>6</v>
      </c>
      <c r="D7" s="6" t="s">
        <v>68</v>
      </c>
      <c r="E7" s="6" t="s">
        <v>69</v>
      </c>
      <c r="F7" s="5" t="s">
        <v>67</v>
      </c>
      <c r="G7" s="4" t="s">
        <v>54</v>
      </c>
      <c r="H7" s="5" t="s">
        <v>55</v>
      </c>
    </row>
    <row r="8" spans="1:8">
      <c r="A8" s="5" t="s">
        <v>10</v>
      </c>
      <c r="B8" s="5" t="s">
        <v>64</v>
      </c>
      <c r="C8" s="5">
        <v>7</v>
      </c>
      <c r="D8" s="6" t="s">
        <v>70</v>
      </c>
      <c r="E8" s="6" t="s">
        <v>71</v>
      </c>
      <c r="F8" s="5" t="s">
        <v>72</v>
      </c>
      <c r="G8" s="4" t="s">
        <v>54</v>
      </c>
      <c r="H8" s="5" t="s">
        <v>55</v>
      </c>
    </row>
    <row r="9" spans="1:8">
      <c r="A9" s="5" t="s">
        <v>10</v>
      </c>
      <c r="B9" s="5" t="s">
        <v>64</v>
      </c>
      <c r="C9" s="5">
        <v>8</v>
      </c>
      <c r="D9" s="6" t="s">
        <v>73</v>
      </c>
      <c r="E9" s="6" t="s">
        <v>74</v>
      </c>
      <c r="F9" s="5" t="s">
        <v>67</v>
      </c>
      <c r="G9" s="4" t="s">
        <v>54</v>
      </c>
      <c r="H9" s="5" t="s">
        <v>55</v>
      </c>
    </row>
    <row r="10" spans="1:8">
      <c r="A10" s="5" t="s">
        <v>10</v>
      </c>
      <c r="B10" s="5" t="s">
        <v>75</v>
      </c>
      <c r="C10" s="5">
        <v>9</v>
      </c>
      <c r="D10" s="6" t="s">
        <v>76</v>
      </c>
      <c r="E10" s="6" t="s">
        <v>77</v>
      </c>
      <c r="F10" s="5" t="s">
        <v>78</v>
      </c>
      <c r="G10" s="4" t="s">
        <v>54</v>
      </c>
      <c r="H10" s="5" t="s">
        <v>55</v>
      </c>
    </row>
    <row r="11" spans="1:8">
      <c r="A11" s="5" t="s">
        <v>10</v>
      </c>
      <c r="B11" s="5" t="s">
        <v>75</v>
      </c>
      <c r="C11" s="5">
        <v>10</v>
      </c>
      <c r="D11" s="6" t="s">
        <v>79</v>
      </c>
      <c r="E11" s="6" t="s">
        <v>80</v>
      </c>
      <c r="F11" s="5" t="s">
        <v>78</v>
      </c>
      <c r="G11" s="4" t="s">
        <v>54</v>
      </c>
      <c r="H11" s="5" t="s">
        <v>55</v>
      </c>
    </row>
    <row r="12" spans="1:8">
      <c r="A12" s="5" t="s">
        <v>10</v>
      </c>
      <c r="B12" s="5" t="s">
        <v>75</v>
      </c>
      <c r="C12" s="5">
        <v>11</v>
      </c>
      <c r="D12" s="6" t="s">
        <v>81</v>
      </c>
      <c r="E12" s="6" t="s">
        <v>82</v>
      </c>
      <c r="F12" s="5" t="s">
        <v>83</v>
      </c>
      <c r="G12" s="4" t="s">
        <v>54</v>
      </c>
      <c r="H12" s="5" t="s">
        <v>55</v>
      </c>
    </row>
    <row r="13" spans="1:8">
      <c r="A13" s="5" t="s">
        <v>10</v>
      </c>
      <c r="B13" s="5" t="s">
        <v>84</v>
      </c>
      <c r="C13" s="5">
        <v>12</v>
      </c>
      <c r="D13" s="6" t="s">
        <v>85</v>
      </c>
      <c r="E13" s="6" t="s">
        <v>86</v>
      </c>
      <c r="F13" s="5" t="s">
        <v>87</v>
      </c>
      <c r="G13" s="4" t="s">
        <v>54</v>
      </c>
      <c r="H13" s="5" t="s">
        <v>55</v>
      </c>
    </row>
    <row r="14" spans="1:8">
      <c r="A14" s="5" t="s">
        <v>10</v>
      </c>
      <c r="B14" s="5" t="s">
        <v>84</v>
      </c>
      <c r="C14" s="5">
        <v>13</v>
      </c>
      <c r="D14" s="6" t="s">
        <v>88</v>
      </c>
      <c r="E14" s="6" t="s">
        <v>89</v>
      </c>
      <c r="F14" s="5" t="s">
        <v>90</v>
      </c>
      <c r="G14" s="4" t="s">
        <v>54</v>
      </c>
      <c r="H14" s="5" t="s">
        <v>55</v>
      </c>
    </row>
    <row r="15" spans="1:8">
      <c r="A15" s="5" t="s">
        <v>10</v>
      </c>
      <c r="B15" s="5" t="s">
        <v>91</v>
      </c>
      <c r="C15" s="5">
        <v>14</v>
      </c>
      <c r="D15" s="6" t="s">
        <v>92</v>
      </c>
      <c r="E15" s="6" t="s">
        <v>93</v>
      </c>
      <c r="F15" s="5" t="s">
        <v>94</v>
      </c>
      <c r="G15" s="4" t="s">
        <v>54</v>
      </c>
      <c r="H15" s="5" t="s">
        <v>55</v>
      </c>
    </row>
    <row r="16" spans="1:8">
      <c r="A16" s="5" t="s">
        <v>10</v>
      </c>
      <c r="B16" s="5" t="s">
        <v>91</v>
      </c>
      <c r="C16" s="5">
        <v>15</v>
      </c>
      <c r="D16" s="6" t="s">
        <v>95</v>
      </c>
      <c r="E16" s="6" t="s">
        <v>96</v>
      </c>
      <c r="F16" s="5" t="s">
        <v>97</v>
      </c>
      <c r="G16" s="4" t="s">
        <v>54</v>
      </c>
      <c r="H16" s="5" t="s">
        <v>55</v>
      </c>
    </row>
    <row r="17" spans="1:8">
      <c r="A17" s="7" t="s">
        <v>11</v>
      </c>
      <c r="B17" s="7" t="s">
        <v>98</v>
      </c>
      <c r="C17" s="7">
        <v>1</v>
      </c>
      <c r="D17" s="8" t="s">
        <v>99</v>
      </c>
      <c r="E17" s="8" t="s">
        <v>100</v>
      </c>
      <c r="F17" s="7" t="s">
        <v>101</v>
      </c>
      <c r="G17" s="4" t="s">
        <v>54</v>
      </c>
      <c r="H17" s="7" t="s">
        <v>55</v>
      </c>
    </row>
    <row r="18" spans="1:8">
      <c r="A18" s="7" t="s">
        <v>11</v>
      </c>
      <c r="B18" s="7" t="s">
        <v>98</v>
      </c>
      <c r="C18" s="7">
        <v>2</v>
      </c>
      <c r="D18" s="8" t="s">
        <v>102</v>
      </c>
      <c r="E18" s="8" t="s">
        <v>103</v>
      </c>
      <c r="F18" s="7" t="s">
        <v>101</v>
      </c>
      <c r="G18" s="4" t="s">
        <v>54</v>
      </c>
      <c r="H18" s="7" t="s">
        <v>55</v>
      </c>
    </row>
    <row r="19" spans="1:8">
      <c r="A19" s="7" t="s">
        <v>11</v>
      </c>
      <c r="B19" s="7" t="s">
        <v>98</v>
      </c>
      <c r="C19" s="7">
        <v>3</v>
      </c>
      <c r="D19" s="8" t="s">
        <v>104</v>
      </c>
      <c r="E19" s="8" t="s">
        <v>105</v>
      </c>
      <c r="F19" s="7" t="s">
        <v>101</v>
      </c>
      <c r="G19" s="4" t="s">
        <v>54</v>
      </c>
      <c r="H19" s="7" t="s">
        <v>55</v>
      </c>
    </row>
    <row r="20" spans="1:8">
      <c r="A20" s="7" t="s">
        <v>11</v>
      </c>
      <c r="B20" s="7" t="s">
        <v>106</v>
      </c>
      <c r="C20" s="7">
        <v>4</v>
      </c>
      <c r="D20" s="8" t="s">
        <v>107</v>
      </c>
      <c r="E20" s="8" t="s">
        <v>108</v>
      </c>
      <c r="F20" s="7" t="s">
        <v>78</v>
      </c>
      <c r="G20" s="4" t="s">
        <v>54</v>
      </c>
      <c r="H20" s="7" t="s">
        <v>55</v>
      </c>
    </row>
    <row r="21" spans="1:8">
      <c r="A21" s="7" t="s">
        <v>11</v>
      </c>
      <c r="B21" s="7" t="s">
        <v>106</v>
      </c>
      <c r="C21" s="7">
        <v>5</v>
      </c>
      <c r="D21" s="8" t="s">
        <v>109</v>
      </c>
      <c r="E21" s="8" t="s">
        <v>110</v>
      </c>
      <c r="F21" s="7" t="s">
        <v>78</v>
      </c>
      <c r="G21" s="4" t="s">
        <v>54</v>
      </c>
      <c r="H21" s="7" t="s">
        <v>55</v>
      </c>
    </row>
    <row r="22" spans="1:8">
      <c r="A22" s="7" t="s">
        <v>11</v>
      </c>
      <c r="B22" s="7" t="s">
        <v>111</v>
      </c>
      <c r="C22" s="7">
        <v>6</v>
      </c>
      <c r="D22" s="8" t="s">
        <v>112</v>
      </c>
      <c r="E22" s="8" t="s">
        <v>113</v>
      </c>
      <c r="F22" s="7" t="s">
        <v>114</v>
      </c>
      <c r="G22" s="4" t="s">
        <v>54</v>
      </c>
      <c r="H22" s="7" t="s">
        <v>55</v>
      </c>
    </row>
    <row r="23" spans="1:8">
      <c r="A23" s="7" t="s">
        <v>11</v>
      </c>
      <c r="B23" s="7" t="s">
        <v>111</v>
      </c>
      <c r="C23" s="7">
        <v>7</v>
      </c>
      <c r="D23" s="8" t="s">
        <v>115</v>
      </c>
      <c r="E23" s="8" t="s">
        <v>116</v>
      </c>
      <c r="F23" s="7" t="s">
        <v>114</v>
      </c>
      <c r="G23" s="4" t="s">
        <v>54</v>
      </c>
      <c r="H23" s="7" t="s">
        <v>55</v>
      </c>
    </row>
    <row r="24" spans="1:8">
      <c r="A24" s="7" t="s">
        <v>11</v>
      </c>
      <c r="B24" s="7" t="s">
        <v>111</v>
      </c>
      <c r="C24" s="7">
        <v>8</v>
      </c>
      <c r="D24" s="8" t="s">
        <v>117</v>
      </c>
      <c r="E24" s="8" t="s">
        <v>118</v>
      </c>
      <c r="F24" s="7" t="s">
        <v>114</v>
      </c>
      <c r="G24" s="4" t="s">
        <v>54</v>
      </c>
      <c r="H24" s="7" t="s">
        <v>55</v>
      </c>
    </row>
    <row r="25" spans="1:8">
      <c r="A25" s="7" t="s">
        <v>11</v>
      </c>
      <c r="B25" s="7" t="s">
        <v>119</v>
      </c>
      <c r="C25" s="7">
        <v>9</v>
      </c>
      <c r="D25" s="8" t="s">
        <v>120</v>
      </c>
      <c r="E25" s="8" t="s">
        <v>121</v>
      </c>
      <c r="F25" s="7" t="s">
        <v>122</v>
      </c>
      <c r="G25" s="4" t="s">
        <v>54</v>
      </c>
      <c r="H25" s="7" t="s">
        <v>55</v>
      </c>
    </row>
    <row r="26" spans="1:8">
      <c r="A26" s="7" t="s">
        <v>11</v>
      </c>
      <c r="B26" s="7" t="s">
        <v>119</v>
      </c>
      <c r="C26" s="7">
        <v>10</v>
      </c>
      <c r="D26" s="8" t="s">
        <v>123</v>
      </c>
      <c r="E26" s="8" t="s">
        <v>124</v>
      </c>
      <c r="F26" s="7" t="s">
        <v>122</v>
      </c>
      <c r="G26" s="4" t="s">
        <v>54</v>
      </c>
      <c r="H26" s="7" t="s">
        <v>55</v>
      </c>
    </row>
    <row r="27" spans="1:8">
      <c r="A27" s="7" t="s">
        <v>11</v>
      </c>
      <c r="B27" s="7" t="s">
        <v>125</v>
      </c>
      <c r="C27" s="7">
        <v>11</v>
      </c>
      <c r="D27" s="8" t="s">
        <v>126</v>
      </c>
      <c r="E27" s="8" t="s">
        <v>127</v>
      </c>
      <c r="F27" s="7" t="s">
        <v>128</v>
      </c>
      <c r="G27" s="4" t="s">
        <v>54</v>
      </c>
      <c r="H27" s="7" t="s">
        <v>55</v>
      </c>
    </row>
    <row r="28" spans="1:8">
      <c r="A28" s="5" t="s">
        <v>12</v>
      </c>
      <c r="B28" s="5" t="s">
        <v>129</v>
      </c>
      <c r="C28" s="5">
        <v>1</v>
      </c>
      <c r="D28" s="6" t="s">
        <v>130</v>
      </c>
      <c r="E28" s="6" t="s">
        <v>131</v>
      </c>
      <c r="F28" s="5" t="s">
        <v>132</v>
      </c>
      <c r="G28" s="4" t="s">
        <v>54</v>
      </c>
      <c r="H28" s="5" t="s">
        <v>55</v>
      </c>
    </row>
    <row r="29" spans="1:8">
      <c r="A29" s="5" t="s">
        <v>12</v>
      </c>
      <c r="B29" s="5" t="s">
        <v>129</v>
      </c>
      <c r="C29" s="5">
        <v>2</v>
      </c>
      <c r="D29" s="6" t="s">
        <v>133</v>
      </c>
      <c r="E29" s="6" t="s">
        <v>134</v>
      </c>
      <c r="F29" s="5" t="s">
        <v>132</v>
      </c>
      <c r="G29" s="4" t="s">
        <v>54</v>
      </c>
      <c r="H29" s="5" t="s">
        <v>55</v>
      </c>
    </row>
    <row r="30" spans="1:8">
      <c r="A30" s="5" t="s">
        <v>12</v>
      </c>
      <c r="B30" s="5" t="s">
        <v>129</v>
      </c>
      <c r="C30" s="5">
        <v>3</v>
      </c>
      <c r="D30" s="6" t="s">
        <v>135</v>
      </c>
      <c r="E30" s="6" t="s">
        <v>136</v>
      </c>
      <c r="F30" s="5" t="s">
        <v>132</v>
      </c>
      <c r="G30" s="4" t="s">
        <v>54</v>
      </c>
      <c r="H30" s="5" t="s">
        <v>55</v>
      </c>
    </row>
    <row r="31" spans="1:8">
      <c r="A31" s="5" t="s">
        <v>12</v>
      </c>
      <c r="B31" s="5" t="s">
        <v>137</v>
      </c>
      <c r="C31" s="5">
        <v>4</v>
      </c>
      <c r="D31" s="6" t="s">
        <v>138</v>
      </c>
      <c r="E31" s="6" t="s">
        <v>139</v>
      </c>
      <c r="F31" s="5" t="s">
        <v>140</v>
      </c>
      <c r="G31" s="4" t="s">
        <v>54</v>
      </c>
      <c r="H31" s="5" t="s">
        <v>55</v>
      </c>
    </row>
    <row r="32" spans="1:8">
      <c r="A32" s="5" t="s">
        <v>12</v>
      </c>
      <c r="B32" s="5" t="s">
        <v>137</v>
      </c>
      <c r="C32" s="5">
        <v>5</v>
      </c>
      <c r="D32" s="6" t="s">
        <v>141</v>
      </c>
      <c r="E32" s="6" t="s">
        <v>142</v>
      </c>
      <c r="F32" s="5" t="s">
        <v>140</v>
      </c>
      <c r="G32" s="4" t="s">
        <v>54</v>
      </c>
      <c r="H32" s="5" t="s">
        <v>55</v>
      </c>
    </row>
    <row r="33" spans="1:8">
      <c r="A33" s="5" t="s">
        <v>12</v>
      </c>
      <c r="B33" s="5" t="s">
        <v>143</v>
      </c>
      <c r="C33" s="5">
        <v>6</v>
      </c>
      <c r="D33" s="6" t="s">
        <v>144</v>
      </c>
      <c r="E33" s="6" t="s">
        <v>145</v>
      </c>
      <c r="F33" s="5" t="s">
        <v>140</v>
      </c>
      <c r="G33" s="4" t="s">
        <v>54</v>
      </c>
      <c r="H33" s="5" t="s">
        <v>55</v>
      </c>
    </row>
    <row r="34" spans="1:8">
      <c r="A34" s="5" t="s">
        <v>12</v>
      </c>
      <c r="B34" s="5" t="s">
        <v>143</v>
      </c>
      <c r="C34" s="5">
        <v>7</v>
      </c>
      <c r="D34" s="6" t="s">
        <v>146</v>
      </c>
      <c r="E34" s="6" t="s">
        <v>147</v>
      </c>
      <c r="F34" s="5" t="s">
        <v>140</v>
      </c>
      <c r="G34" s="4" t="s">
        <v>54</v>
      </c>
      <c r="H34" s="5" t="s">
        <v>55</v>
      </c>
    </row>
    <row r="35" spans="1:8">
      <c r="A35" s="5" t="s">
        <v>12</v>
      </c>
      <c r="B35" s="5" t="s">
        <v>148</v>
      </c>
      <c r="C35" s="5">
        <v>8</v>
      </c>
      <c r="D35" s="6" t="s">
        <v>149</v>
      </c>
      <c r="E35" s="6" t="s">
        <v>150</v>
      </c>
      <c r="F35" s="5" t="s">
        <v>151</v>
      </c>
      <c r="G35" s="4" t="s">
        <v>54</v>
      </c>
      <c r="H35" s="5" t="s">
        <v>55</v>
      </c>
    </row>
    <row r="36" spans="1:8">
      <c r="A36" s="7" t="s">
        <v>13</v>
      </c>
      <c r="B36" s="7" t="s">
        <v>152</v>
      </c>
      <c r="C36" s="7">
        <v>1</v>
      </c>
      <c r="D36" s="8" t="s">
        <v>153</v>
      </c>
      <c r="E36" s="8" t="s">
        <v>154</v>
      </c>
      <c r="F36" s="7" t="s">
        <v>155</v>
      </c>
      <c r="G36" s="4" t="s">
        <v>54</v>
      </c>
      <c r="H36" s="7" t="s">
        <v>55</v>
      </c>
    </row>
    <row r="37" spans="1:8">
      <c r="A37" s="7" t="s">
        <v>13</v>
      </c>
      <c r="B37" s="7" t="s">
        <v>152</v>
      </c>
      <c r="C37" s="7">
        <v>2</v>
      </c>
      <c r="D37" s="8" t="s">
        <v>67</v>
      </c>
      <c r="E37" s="8" t="s">
        <v>156</v>
      </c>
      <c r="F37" s="7" t="s">
        <v>155</v>
      </c>
      <c r="G37" s="4" t="s">
        <v>54</v>
      </c>
      <c r="H37" s="7" t="s">
        <v>55</v>
      </c>
    </row>
    <row r="38" spans="1:8">
      <c r="A38" s="7" t="s">
        <v>13</v>
      </c>
      <c r="B38" s="7" t="s">
        <v>152</v>
      </c>
      <c r="C38" s="7">
        <v>3</v>
      </c>
      <c r="D38" s="8" t="s">
        <v>157</v>
      </c>
      <c r="E38" s="8" t="s">
        <v>158</v>
      </c>
      <c r="F38" s="7" t="s">
        <v>155</v>
      </c>
      <c r="G38" s="4" t="s">
        <v>54</v>
      </c>
      <c r="H38" s="7" t="s">
        <v>55</v>
      </c>
    </row>
    <row r="39" spans="1:8">
      <c r="A39" s="7" t="s">
        <v>13</v>
      </c>
      <c r="B39" s="7" t="s">
        <v>152</v>
      </c>
      <c r="C39" s="7">
        <v>4</v>
      </c>
      <c r="D39" s="8" t="s">
        <v>159</v>
      </c>
      <c r="E39" s="8" t="s">
        <v>160</v>
      </c>
      <c r="F39" s="7" t="s">
        <v>155</v>
      </c>
      <c r="G39" s="4" t="s">
        <v>54</v>
      </c>
      <c r="H39" s="7" t="s">
        <v>55</v>
      </c>
    </row>
    <row r="40" ht="31" spans="1:8">
      <c r="A40" s="7" t="s">
        <v>13</v>
      </c>
      <c r="B40" s="7" t="s">
        <v>152</v>
      </c>
      <c r="C40" s="7">
        <v>5</v>
      </c>
      <c r="D40" s="8" t="s">
        <v>161</v>
      </c>
      <c r="E40" s="8" t="s">
        <v>162</v>
      </c>
      <c r="F40" s="7" t="s">
        <v>155</v>
      </c>
      <c r="G40" s="4" t="s">
        <v>54</v>
      </c>
      <c r="H40" s="7" t="s">
        <v>55</v>
      </c>
    </row>
    <row r="41" spans="1:8">
      <c r="A41" s="7" t="s">
        <v>13</v>
      </c>
      <c r="B41" s="7" t="s">
        <v>163</v>
      </c>
      <c r="C41" s="7">
        <v>6</v>
      </c>
      <c r="D41" s="8" t="s">
        <v>164</v>
      </c>
      <c r="E41" s="8" t="s">
        <v>165</v>
      </c>
      <c r="F41" s="7" t="s">
        <v>155</v>
      </c>
      <c r="G41" s="4" t="s">
        <v>54</v>
      </c>
      <c r="H41" s="7" t="s">
        <v>55</v>
      </c>
    </row>
    <row r="42" spans="1:8">
      <c r="A42" s="7" t="s">
        <v>13</v>
      </c>
      <c r="B42" s="7" t="s">
        <v>163</v>
      </c>
      <c r="C42" s="7">
        <v>7</v>
      </c>
      <c r="D42" s="8" t="s">
        <v>166</v>
      </c>
      <c r="E42" s="8" t="s">
        <v>167</v>
      </c>
      <c r="F42" s="7" t="s">
        <v>168</v>
      </c>
      <c r="G42" s="4" t="s">
        <v>54</v>
      </c>
      <c r="H42" s="7" t="s">
        <v>55</v>
      </c>
    </row>
    <row r="43" spans="1:8">
      <c r="A43" s="7" t="s">
        <v>13</v>
      </c>
      <c r="B43" s="7" t="s">
        <v>163</v>
      </c>
      <c r="C43" s="7">
        <v>8</v>
      </c>
      <c r="D43" s="8" t="s">
        <v>169</v>
      </c>
      <c r="E43" s="8" t="s">
        <v>170</v>
      </c>
      <c r="F43" s="7" t="s">
        <v>155</v>
      </c>
      <c r="G43" s="4" t="s">
        <v>54</v>
      </c>
      <c r="H43" s="7" t="s">
        <v>55</v>
      </c>
    </row>
    <row r="44" spans="1:8">
      <c r="A44" s="7" t="s">
        <v>13</v>
      </c>
      <c r="B44" s="7" t="s">
        <v>163</v>
      </c>
      <c r="C44" s="7">
        <v>9</v>
      </c>
      <c r="D44" s="8" t="s">
        <v>171</v>
      </c>
      <c r="E44" s="8" t="s">
        <v>172</v>
      </c>
      <c r="F44" s="7" t="s">
        <v>155</v>
      </c>
      <c r="G44" s="4" t="s">
        <v>54</v>
      </c>
      <c r="H44" s="7" t="s">
        <v>55</v>
      </c>
    </row>
    <row r="45" ht="31" spans="1:8">
      <c r="A45" s="7" t="s">
        <v>13</v>
      </c>
      <c r="B45" s="7" t="s">
        <v>173</v>
      </c>
      <c r="C45" s="7">
        <v>10</v>
      </c>
      <c r="D45" s="8" t="s">
        <v>174</v>
      </c>
      <c r="E45" s="8" t="s">
        <v>175</v>
      </c>
      <c r="F45" s="7" t="s">
        <v>155</v>
      </c>
      <c r="G45" s="4" t="s">
        <v>54</v>
      </c>
      <c r="H45" s="7" t="s">
        <v>55</v>
      </c>
    </row>
    <row r="46" spans="1:8">
      <c r="A46" s="7" t="s">
        <v>13</v>
      </c>
      <c r="B46" s="7" t="s">
        <v>173</v>
      </c>
      <c r="C46" s="7">
        <v>11</v>
      </c>
      <c r="D46" s="8" t="s">
        <v>176</v>
      </c>
      <c r="E46" s="8" t="s">
        <v>177</v>
      </c>
      <c r="F46" s="7" t="s">
        <v>155</v>
      </c>
      <c r="G46" s="4" t="s">
        <v>54</v>
      </c>
      <c r="H46" s="7" t="s">
        <v>55</v>
      </c>
    </row>
    <row r="47" spans="1:8">
      <c r="A47" s="7" t="s">
        <v>13</v>
      </c>
      <c r="B47" s="7" t="s">
        <v>173</v>
      </c>
      <c r="C47" s="7">
        <v>12</v>
      </c>
      <c r="D47" s="8" t="s">
        <v>178</v>
      </c>
      <c r="E47" s="8" t="s">
        <v>179</v>
      </c>
      <c r="F47" s="7" t="s">
        <v>155</v>
      </c>
      <c r="G47" s="4" t="s">
        <v>54</v>
      </c>
      <c r="H47" s="7" t="s">
        <v>55</v>
      </c>
    </row>
    <row r="48" spans="1:8">
      <c r="A48" s="7" t="s">
        <v>13</v>
      </c>
      <c r="B48" s="7" t="s">
        <v>173</v>
      </c>
      <c r="C48" s="7">
        <v>13</v>
      </c>
      <c r="D48" s="8" t="s">
        <v>180</v>
      </c>
      <c r="E48" s="8" t="s">
        <v>181</v>
      </c>
      <c r="F48" s="7" t="s">
        <v>155</v>
      </c>
      <c r="G48" s="4" t="s">
        <v>54</v>
      </c>
      <c r="H48" s="7" t="s">
        <v>55</v>
      </c>
    </row>
    <row r="49" spans="1:8">
      <c r="A49" s="7" t="s">
        <v>13</v>
      </c>
      <c r="B49" s="7" t="s">
        <v>173</v>
      </c>
      <c r="C49" s="7">
        <v>14</v>
      </c>
      <c r="D49" s="8" t="s">
        <v>182</v>
      </c>
      <c r="E49" s="8" t="s">
        <v>183</v>
      </c>
      <c r="F49" s="7" t="s">
        <v>155</v>
      </c>
      <c r="G49" s="4" t="s">
        <v>54</v>
      </c>
      <c r="H49" s="7" t="s">
        <v>55</v>
      </c>
    </row>
    <row r="50" spans="1:8">
      <c r="A50" s="7" t="s">
        <v>13</v>
      </c>
      <c r="B50" s="7" t="s">
        <v>173</v>
      </c>
      <c r="C50" s="7">
        <v>15</v>
      </c>
      <c r="D50" s="8" t="s">
        <v>184</v>
      </c>
      <c r="E50" s="8" t="s">
        <v>185</v>
      </c>
      <c r="F50" s="7" t="s">
        <v>155</v>
      </c>
      <c r="G50" s="4" t="s">
        <v>54</v>
      </c>
      <c r="H50" s="7" t="s">
        <v>55</v>
      </c>
    </row>
    <row r="51" ht="31" spans="1:8">
      <c r="A51" s="7" t="s">
        <v>13</v>
      </c>
      <c r="B51" s="7" t="s">
        <v>186</v>
      </c>
      <c r="C51" s="7">
        <v>16</v>
      </c>
      <c r="D51" s="8" t="s">
        <v>187</v>
      </c>
      <c r="E51" s="8" t="s">
        <v>188</v>
      </c>
      <c r="F51" s="7" t="s">
        <v>155</v>
      </c>
      <c r="G51" s="4" t="s">
        <v>54</v>
      </c>
      <c r="H51" s="7" t="s">
        <v>55</v>
      </c>
    </row>
    <row r="52" ht="31" spans="1:8">
      <c r="A52" s="7" t="s">
        <v>13</v>
      </c>
      <c r="B52" s="7" t="s">
        <v>186</v>
      </c>
      <c r="C52" s="7">
        <v>17</v>
      </c>
      <c r="D52" s="8" t="s">
        <v>189</v>
      </c>
      <c r="E52" s="8" t="s">
        <v>190</v>
      </c>
      <c r="F52" s="7" t="s">
        <v>155</v>
      </c>
      <c r="G52" s="4" t="s">
        <v>54</v>
      </c>
      <c r="H52" s="7" t="s">
        <v>55</v>
      </c>
    </row>
    <row r="53" spans="1:8">
      <c r="A53" s="7" t="s">
        <v>13</v>
      </c>
      <c r="B53" s="7" t="s">
        <v>191</v>
      </c>
      <c r="C53" s="7">
        <v>18</v>
      </c>
      <c r="D53" s="8" t="s">
        <v>192</v>
      </c>
      <c r="E53" s="8" t="s">
        <v>193</v>
      </c>
      <c r="F53" s="7" t="s">
        <v>155</v>
      </c>
      <c r="G53" s="4" t="s">
        <v>54</v>
      </c>
      <c r="H53" s="7" t="s">
        <v>55</v>
      </c>
    </row>
    <row r="54" spans="1:8">
      <c r="A54" s="7" t="s">
        <v>13</v>
      </c>
      <c r="B54" s="7" t="s">
        <v>191</v>
      </c>
      <c r="C54" s="7">
        <v>19</v>
      </c>
      <c r="D54" s="8" t="s">
        <v>194</v>
      </c>
      <c r="E54" s="8" t="s">
        <v>195</v>
      </c>
      <c r="F54" s="7" t="s">
        <v>155</v>
      </c>
      <c r="G54" s="4" t="s">
        <v>54</v>
      </c>
      <c r="H54" s="7" t="s">
        <v>55</v>
      </c>
    </row>
    <row r="55" spans="1:8">
      <c r="A55" s="7" t="s">
        <v>13</v>
      </c>
      <c r="B55" s="7" t="s">
        <v>191</v>
      </c>
      <c r="C55" s="7">
        <v>20</v>
      </c>
      <c r="D55" s="8" t="s">
        <v>196</v>
      </c>
      <c r="E55" s="8" t="s">
        <v>197</v>
      </c>
      <c r="F55" s="7" t="s">
        <v>155</v>
      </c>
      <c r="G55" s="4" t="s">
        <v>54</v>
      </c>
      <c r="H55" s="7" t="s">
        <v>55</v>
      </c>
    </row>
    <row r="56" spans="1:8">
      <c r="A56" s="7" t="s">
        <v>13</v>
      </c>
      <c r="B56" s="7" t="s">
        <v>191</v>
      </c>
      <c r="C56" s="7">
        <v>21</v>
      </c>
      <c r="D56" s="8" t="s">
        <v>198</v>
      </c>
      <c r="E56" s="8" t="s">
        <v>199</v>
      </c>
      <c r="F56" s="7" t="s">
        <v>155</v>
      </c>
      <c r="G56" s="4" t="s">
        <v>54</v>
      </c>
      <c r="H56" s="7" t="s">
        <v>55</v>
      </c>
    </row>
    <row r="57" spans="1:8">
      <c r="A57" s="7" t="s">
        <v>13</v>
      </c>
      <c r="B57" s="7" t="s">
        <v>191</v>
      </c>
      <c r="C57" s="7">
        <v>22</v>
      </c>
      <c r="D57" s="8" t="s">
        <v>200</v>
      </c>
      <c r="E57" s="8" t="s">
        <v>201</v>
      </c>
      <c r="F57" s="7" t="s">
        <v>155</v>
      </c>
      <c r="G57" s="4" t="s">
        <v>54</v>
      </c>
      <c r="H57" s="7" t="s">
        <v>55</v>
      </c>
    </row>
    <row r="58" ht="31" spans="1:8">
      <c r="A58" s="7" t="s">
        <v>13</v>
      </c>
      <c r="B58" s="7" t="s">
        <v>202</v>
      </c>
      <c r="C58" s="7">
        <v>23</v>
      </c>
      <c r="D58" s="8" t="s">
        <v>203</v>
      </c>
      <c r="E58" s="8" t="s">
        <v>204</v>
      </c>
      <c r="F58" s="7" t="s">
        <v>155</v>
      </c>
      <c r="G58" s="4" t="s">
        <v>54</v>
      </c>
      <c r="H58" s="7" t="s">
        <v>55</v>
      </c>
    </row>
    <row r="59" ht="31" spans="1:8">
      <c r="A59" s="7" t="s">
        <v>13</v>
      </c>
      <c r="B59" s="7" t="s">
        <v>202</v>
      </c>
      <c r="C59" s="7">
        <v>24</v>
      </c>
      <c r="D59" s="8" t="s">
        <v>205</v>
      </c>
      <c r="E59" s="8" t="s">
        <v>206</v>
      </c>
      <c r="F59" s="7" t="s">
        <v>155</v>
      </c>
      <c r="G59" s="4" t="s">
        <v>54</v>
      </c>
      <c r="H59" s="7" t="s">
        <v>55</v>
      </c>
    </row>
    <row r="60" ht="31" spans="1:8">
      <c r="A60" s="7" t="s">
        <v>13</v>
      </c>
      <c r="B60" s="7" t="s">
        <v>202</v>
      </c>
      <c r="C60" s="7">
        <v>25</v>
      </c>
      <c r="D60" s="8" t="s">
        <v>207</v>
      </c>
      <c r="E60" s="8" t="s">
        <v>208</v>
      </c>
      <c r="F60" s="7" t="s">
        <v>155</v>
      </c>
      <c r="G60" s="4" t="s">
        <v>54</v>
      </c>
      <c r="H60" s="7" t="s">
        <v>55</v>
      </c>
    </row>
    <row r="61" ht="31" spans="1:8">
      <c r="A61" s="7" t="s">
        <v>13</v>
      </c>
      <c r="B61" s="7" t="s">
        <v>202</v>
      </c>
      <c r="C61" s="7">
        <v>26</v>
      </c>
      <c r="D61" s="8" t="s">
        <v>209</v>
      </c>
      <c r="E61" s="8" t="s">
        <v>210</v>
      </c>
      <c r="F61" s="7" t="s">
        <v>155</v>
      </c>
      <c r="G61" s="4" t="s">
        <v>54</v>
      </c>
      <c r="H61" s="7" t="s">
        <v>55</v>
      </c>
    </row>
    <row r="62" ht="31" spans="1:8">
      <c r="A62" s="7" t="s">
        <v>13</v>
      </c>
      <c r="B62" s="7" t="s">
        <v>202</v>
      </c>
      <c r="C62" s="7">
        <v>27</v>
      </c>
      <c r="D62" s="8" t="s">
        <v>211</v>
      </c>
      <c r="E62" s="8" t="s">
        <v>212</v>
      </c>
      <c r="F62" s="7" t="s">
        <v>155</v>
      </c>
      <c r="G62" s="4" t="s">
        <v>54</v>
      </c>
      <c r="H62" s="7" t="s">
        <v>55</v>
      </c>
    </row>
    <row r="63" ht="31" spans="1:8">
      <c r="A63" s="7" t="s">
        <v>13</v>
      </c>
      <c r="B63" s="7" t="s">
        <v>202</v>
      </c>
      <c r="C63" s="7">
        <v>28</v>
      </c>
      <c r="D63" s="8" t="s">
        <v>213</v>
      </c>
      <c r="E63" s="8" t="s">
        <v>214</v>
      </c>
      <c r="F63" s="7" t="s">
        <v>155</v>
      </c>
      <c r="G63" s="4" t="s">
        <v>54</v>
      </c>
      <c r="H63" s="7" t="s">
        <v>55</v>
      </c>
    </row>
    <row r="64" spans="1:8">
      <c r="A64" s="7" t="s">
        <v>13</v>
      </c>
      <c r="B64" s="7" t="s">
        <v>215</v>
      </c>
      <c r="C64" s="7">
        <v>29</v>
      </c>
      <c r="D64" s="8" t="s">
        <v>216</v>
      </c>
      <c r="E64" s="8" t="s">
        <v>217</v>
      </c>
      <c r="F64" s="7" t="s">
        <v>155</v>
      </c>
      <c r="G64" s="4" t="s">
        <v>54</v>
      </c>
      <c r="H64" s="7" t="s">
        <v>55</v>
      </c>
    </row>
    <row r="65" spans="1:8">
      <c r="A65" s="7" t="s">
        <v>13</v>
      </c>
      <c r="B65" s="7" t="s">
        <v>215</v>
      </c>
      <c r="C65" s="7">
        <v>30</v>
      </c>
      <c r="D65" s="8" t="s">
        <v>218</v>
      </c>
      <c r="E65" s="8" t="s">
        <v>219</v>
      </c>
      <c r="F65" s="7" t="s">
        <v>155</v>
      </c>
      <c r="G65" s="4" t="s">
        <v>54</v>
      </c>
      <c r="H65" s="7" t="s">
        <v>55</v>
      </c>
    </row>
    <row r="66" spans="1:8">
      <c r="A66" s="7" t="s">
        <v>13</v>
      </c>
      <c r="B66" s="7" t="s">
        <v>215</v>
      </c>
      <c r="C66" s="7">
        <v>31</v>
      </c>
      <c r="D66" s="8" t="s">
        <v>220</v>
      </c>
      <c r="E66" s="8" t="s">
        <v>221</v>
      </c>
      <c r="F66" s="7" t="s">
        <v>155</v>
      </c>
      <c r="G66" s="4" t="s">
        <v>54</v>
      </c>
      <c r="H66" s="7" t="s">
        <v>55</v>
      </c>
    </row>
    <row r="67" spans="1:8">
      <c r="A67" s="7" t="s">
        <v>13</v>
      </c>
      <c r="B67" s="7" t="s">
        <v>215</v>
      </c>
      <c r="C67" s="7">
        <v>32</v>
      </c>
      <c r="D67" s="8" t="s">
        <v>222</v>
      </c>
      <c r="E67" s="8" t="s">
        <v>223</v>
      </c>
      <c r="F67" s="7" t="s">
        <v>155</v>
      </c>
      <c r="G67" s="4" t="s">
        <v>54</v>
      </c>
      <c r="H67" s="7" t="s">
        <v>55</v>
      </c>
    </row>
    <row r="68" spans="1:8">
      <c r="A68" s="7" t="s">
        <v>13</v>
      </c>
      <c r="B68" s="7" t="s">
        <v>215</v>
      </c>
      <c r="C68" s="7">
        <v>33</v>
      </c>
      <c r="D68" s="8" t="s">
        <v>224</v>
      </c>
      <c r="E68" s="8" t="s">
        <v>225</v>
      </c>
      <c r="F68" s="7" t="s">
        <v>155</v>
      </c>
      <c r="G68" s="4" t="s">
        <v>54</v>
      </c>
      <c r="H68" s="7" t="s">
        <v>55</v>
      </c>
    </row>
    <row r="69" spans="1:8">
      <c r="A69" s="7" t="s">
        <v>13</v>
      </c>
      <c r="B69" s="7" t="s">
        <v>215</v>
      </c>
      <c r="C69" s="7">
        <v>34</v>
      </c>
      <c r="D69" s="8" t="s">
        <v>226</v>
      </c>
      <c r="E69" s="8" t="s">
        <v>227</v>
      </c>
      <c r="F69" s="7" t="s">
        <v>155</v>
      </c>
      <c r="G69" s="4" t="s">
        <v>54</v>
      </c>
      <c r="H69" s="7" t="s">
        <v>55</v>
      </c>
    </row>
    <row r="70" spans="1:8">
      <c r="A70" s="7" t="s">
        <v>13</v>
      </c>
      <c r="B70" s="7" t="s">
        <v>228</v>
      </c>
      <c r="C70" s="7">
        <v>35</v>
      </c>
      <c r="D70" s="8" t="s">
        <v>229</v>
      </c>
      <c r="E70" s="8" t="s">
        <v>230</v>
      </c>
      <c r="F70" s="7" t="s">
        <v>155</v>
      </c>
      <c r="G70" s="4" t="s">
        <v>54</v>
      </c>
      <c r="H70" s="7" t="s">
        <v>55</v>
      </c>
    </row>
    <row r="71" spans="1:8">
      <c r="A71" s="7" t="s">
        <v>13</v>
      </c>
      <c r="B71" s="7" t="s">
        <v>228</v>
      </c>
      <c r="C71" s="7">
        <v>36</v>
      </c>
      <c r="D71" s="8" t="s">
        <v>231</v>
      </c>
      <c r="E71" s="8" t="s">
        <v>232</v>
      </c>
      <c r="F71" s="7" t="s">
        <v>155</v>
      </c>
      <c r="G71" s="4" t="s">
        <v>54</v>
      </c>
      <c r="H71" s="7" t="s">
        <v>55</v>
      </c>
    </row>
    <row r="72" spans="1:8">
      <c r="A72" s="7" t="s">
        <v>13</v>
      </c>
      <c r="B72" s="7" t="s">
        <v>233</v>
      </c>
      <c r="C72" s="7">
        <v>37</v>
      </c>
      <c r="D72" s="8" t="s">
        <v>234</v>
      </c>
      <c r="E72" s="8" t="s">
        <v>235</v>
      </c>
      <c r="F72" s="7" t="s">
        <v>155</v>
      </c>
      <c r="G72" s="4" t="s">
        <v>54</v>
      </c>
      <c r="H72" s="7" t="s">
        <v>55</v>
      </c>
    </row>
    <row r="73" spans="1:8">
      <c r="A73" s="7" t="s">
        <v>13</v>
      </c>
      <c r="B73" s="7" t="s">
        <v>233</v>
      </c>
      <c r="C73" s="7">
        <v>38</v>
      </c>
      <c r="D73" s="8" t="s">
        <v>236</v>
      </c>
      <c r="E73" s="8" t="s">
        <v>237</v>
      </c>
      <c r="F73" s="7" t="s">
        <v>155</v>
      </c>
      <c r="G73" s="4" t="s">
        <v>54</v>
      </c>
      <c r="H73" s="7" t="s">
        <v>55</v>
      </c>
    </row>
    <row r="74" spans="1:8">
      <c r="A74" s="7" t="s">
        <v>13</v>
      </c>
      <c r="B74" s="7" t="s">
        <v>233</v>
      </c>
      <c r="C74" s="7">
        <v>39</v>
      </c>
      <c r="D74" s="8" t="s">
        <v>238</v>
      </c>
      <c r="E74" s="8" t="s">
        <v>239</v>
      </c>
      <c r="F74" s="7" t="s">
        <v>155</v>
      </c>
      <c r="G74" s="4" t="s">
        <v>54</v>
      </c>
      <c r="H74" s="7" t="s">
        <v>55</v>
      </c>
    </row>
    <row r="75" spans="1:8">
      <c r="A75" s="7" t="s">
        <v>13</v>
      </c>
      <c r="B75" s="7" t="s">
        <v>233</v>
      </c>
      <c r="C75" s="7">
        <v>40</v>
      </c>
      <c r="D75" s="8" t="s">
        <v>240</v>
      </c>
      <c r="E75" s="8" t="s">
        <v>241</v>
      </c>
      <c r="F75" s="7" t="s">
        <v>155</v>
      </c>
      <c r="G75" s="4" t="s">
        <v>54</v>
      </c>
      <c r="H75" s="7" t="s">
        <v>55</v>
      </c>
    </row>
    <row r="76" spans="1:8">
      <c r="A76" s="7" t="s">
        <v>13</v>
      </c>
      <c r="B76" s="7" t="s">
        <v>233</v>
      </c>
      <c r="C76" s="7">
        <v>41</v>
      </c>
      <c r="D76" s="8" t="s">
        <v>242</v>
      </c>
      <c r="E76" s="8" t="s">
        <v>243</v>
      </c>
      <c r="F76" s="7" t="s">
        <v>155</v>
      </c>
      <c r="G76" s="4" t="s">
        <v>54</v>
      </c>
      <c r="H76" s="7" t="s">
        <v>55</v>
      </c>
    </row>
    <row r="77" ht="31" spans="1:8">
      <c r="A77" s="7" t="s">
        <v>13</v>
      </c>
      <c r="B77" s="7" t="s">
        <v>244</v>
      </c>
      <c r="C77" s="7">
        <v>42</v>
      </c>
      <c r="D77" s="8" t="s">
        <v>245</v>
      </c>
      <c r="E77" s="8" t="s">
        <v>246</v>
      </c>
      <c r="F77" s="7" t="s">
        <v>72</v>
      </c>
      <c r="G77" s="4" t="s">
        <v>54</v>
      </c>
      <c r="H77" s="7" t="s">
        <v>55</v>
      </c>
    </row>
    <row r="78" ht="31" spans="1:8">
      <c r="A78" s="7" t="s">
        <v>13</v>
      </c>
      <c r="B78" s="7" t="s">
        <v>244</v>
      </c>
      <c r="C78" s="7">
        <v>43</v>
      </c>
      <c r="D78" s="8" t="s">
        <v>247</v>
      </c>
      <c r="E78" s="8" t="s">
        <v>248</v>
      </c>
      <c r="F78" s="7" t="s">
        <v>155</v>
      </c>
      <c r="G78" s="4" t="s">
        <v>54</v>
      </c>
      <c r="H78" s="7" t="s">
        <v>55</v>
      </c>
    </row>
    <row r="79" ht="31" spans="1:8">
      <c r="A79" s="7" t="s">
        <v>13</v>
      </c>
      <c r="B79" s="7" t="s">
        <v>244</v>
      </c>
      <c r="C79" s="7">
        <v>44</v>
      </c>
      <c r="D79" s="8" t="s">
        <v>249</v>
      </c>
      <c r="E79" s="8" t="s">
        <v>250</v>
      </c>
      <c r="F79" s="7" t="s">
        <v>155</v>
      </c>
      <c r="G79" s="4" t="s">
        <v>54</v>
      </c>
      <c r="H79" s="7" t="s">
        <v>55</v>
      </c>
    </row>
    <row r="80" ht="31" spans="1:8">
      <c r="A80" s="7" t="s">
        <v>13</v>
      </c>
      <c r="B80" s="7" t="s">
        <v>244</v>
      </c>
      <c r="C80" s="7">
        <v>45</v>
      </c>
      <c r="D80" s="8" t="s">
        <v>251</v>
      </c>
      <c r="E80" s="8" t="s">
        <v>252</v>
      </c>
      <c r="F80" s="7" t="s">
        <v>155</v>
      </c>
      <c r="G80" s="4" t="s">
        <v>54</v>
      </c>
      <c r="H80" s="7" t="s">
        <v>55</v>
      </c>
    </row>
    <row r="81" ht="31" spans="1:8">
      <c r="A81" s="7" t="s">
        <v>13</v>
      </c>
      <c r="B81" s="7" t="s">
        <v>253</v>
      </c>
      <c r="C81" s="7">
        <v>46</v>
      </c>
      <c r="D81" s="8" t="s">
        <v>254</v>
      </c>
      <c r="E81" s="8" t="s">
        <v>255</v>
      </c>
      <c r="F81" s="7" t="s">
        <v>256</v>
      </c>
      <c r="G81" s="4" t="s">
        <v>54</v>
      </c>
      <c r="H81" s="7" t="s">
        <v>55</v>
      </c>
    </row>
    <row r="82" ht="31" spans="1:8">
      <c r="A82" s="7" t="s">
        <v>13</v>
      </c>
      <c r="B82" s="7" t="s">
        <v>253</v>
      </c>
      <c r="C82" s="7">
        <v>47</v>
      </c>
      <c r="D82" s="8" t="s">
        <v>257</v>
      </c>
      <c r="E82" s="8" t="s">
        <v>258</v>
      </c>
      <c r="F82" s="7" t="s">
        <v>256</v>
      </c>
      <c r="G82" s="4" t="s">
        <v>54</v>
      </c>
      <c r="H82" s="7" t="s">
        <v>55</v>
      </c>
    </row>
    <row r="83" ht="31" spans="1:8">
      <c r="A83" s="7" t="s">
        <v>13</v>
      </c>
      <c r="B83" s="7" t="s">
        <v>253</v>
      </c>
      <c r="C83" s="7">
        <v>48</v>
      </c>
      <c r="D83" s="8" t="s">
        <v>259</v>
      </c>
      <c r="E83" s="8" t="s">
        <v>260</v>
      </c>
      <c r="F83" s="7" t="s">
        <v>256</v>
      </c>
      <c r="G83" s="4" t="s">
        <v>54</v>
      </c>
      <c r="H83" s="7" t="s">
        <v>55</v>
      </c>
    </row>
    <row r="84" ht="31" spans="1:8">
      <c r="A84" s="7" t="s">
        <v>13</v>
      </c>
      <c r="B84" s="7" t="s">
        <v>253</v>
      </c>
      <c r="C84" s="7">
        <v>49</v>
      </c>
      <c r="D84" s="8" t="s">
        <v>261</v>
      </c>
      <c r="E84" s="8" t="s">
        <v>262</v>
      </c>
      <c r="F84" s="7" t="s">
        <v>256</v>
      </c>
      <c r="G84" s="4" t="s">
        <v>54</v>
      </c>
      <c r="H84" s="7" t="s">
        <v>55</v>
      </c>
    </row>
    <row r="85" ht="31" spans="1:8">
      <c r="A85" s="7" t="s">
        <v>13</v>
      </c>
      <c r="B85" s="7" t="s">
        <v>263</v>
      </c>
      <c r="C85" s="7">
        <v>50</v>
      </c>
      <c r="D85" s="8" t="s">
        <v>264</v>
      </c>
      <c r="E85" s="8" t="s">
        <v>265</v>
      </c>
      <c r="F85" s="7" t="s">
        <v>266</v>
      </c>
      <c r="G85" s="4" t="s">
        <v>54</v>
      </c>
      <c r="H85" s="7" t="s">
        <v>55</v>
      </c>
    </row>
    <row r="86" ht="31" spans="1:8">
      <c r="A86" s="7" t="s">
        <v>13</v>
      </c>
      <c r="B86" s="7" t="s">
        <v>263</v>
      </c>
      <c r="C86" s="7">
        <v>51</v>
      </c>
      <c r="D86" s="8" t="s">
        <v>267</v>
      </c>
      <c r="E86" s="8" t="s">
        <v>268</v>
      </c>
      <c r="F86" s="7" t="s">
        <v>266</v>
      </c>
      <c r="G86" s="4" t="s">
        <v>54</v>
      </c>
      <c r="H86" s="7" t="s">
        <v>55</v>
      </c>
    </row>
    <row r="87" ht="31" spans="1:8">
      <c r="A87" s="7" t="s">
        <v>13</v>
      </c>
      <c r="B87" s="7" t="s">
        <v>263</v>
      </c>
      <c r="C87" s="7">
        <v>52</v>
      </c>
      <c r="D87" s="8" t="s">
        <v>269</v>
      </c>
      <c r="E87" s="8" t="s">
        <v>270</v>
      </c>
      <c r="F87" s="7" t="s">
        <v>266</v>
      </c>
      <c r="G87" s="4" t="s">
        <v>54</v>
      </c>
      <c r="H87" s="7" t="s">
        <v>55</v>
      </c>
    </row>
    <row r="88" spans="1:8">
      <c r="A88" s="5" t="s">
        <v>14</v>
      </c>
      <c r="B88" s="5" t="s">
        <v>271</v>
      </c>
      <c r="C88" s="5">
        <v>1</v>
      </c>
      <c r="D88" s="6" t="s">
        <v>272</v>
      </c>
      <c r="E88" s="6" t="s">
        <v>273</v>
      </c>
      <c r="F88" s="5" t="s">
        <v>274</v>
      </c>
      <c r="G88" s="4" t="s">
        <v>54</v>
      </c>
      <c r="H88" s="5" t="s">
        <v>55</v>
      </c>
    </row>
    <row r="89" spans="1:8">
      <c r="A89" s="5" t="s">
        <v>14</v>
      </c>
      <c r="B89" s="5" t="s">
        <v>271</v>
      </c>
      <c r="C89" s="5">
        <v>2</v>
      </c>
      <c r="D89" s="6" t="s">
        <v>275</v>
      </c>
      <c r="E89" s="6" t="s">
        <v>276</v>
      </c>
      <c r="F89" s="5" t="s">
        <v>277</v>
      </c>
      <c r="G89" s="4" t="s">
        <v>54</v>
      </c>
      <c r="H89" s="5" t="s">
        <v>55</v>
      </c>
    </row>
    <row r="90" spans="1:8">
      <c r="A90" s="5" t="s">
        <v>14</v>
      </c>
      <c r="B90" s="5" t="s">
        <v>278</v>
      </c>
      <c r="C90" s="5">
        <v>3</v>
      </c>
      <c r="D90" s="6" t="s">
        <v>279</v>
      </c>
      <c r="E90" s="6" t="s">
        <v>280</v>
      </c>
      <c r="F90" s="5" t="s">
        <v>279</v>
      </c>
      <c r="G90" s="4" t="s">
        <v>54</v>
      </c>
      <c r="H90" s="5" t="s">
        <v>55</v>
      </c>
    </row>
    <row r="91" spans="1:8">
      <c r="A91" s="5" t="s">
        <v>14</v>
      </c>
      <c r="B91" s="5" t="s">
        <v>278</v>
      </c>
      <c r="C91" s="5">
        <v>4</v>
      </c>
      <c r="D91" s="6" t="s">
        <v>281</v>
      </c>
      <c r="E91" s="6" t="s">
        <v>282</v>
      </c>
      <c r="F91" s="5" t="s">
        <v>279</v>
      </c>
      <c r="G91" s="4" t="s">
        <v>54</v>
      </c>
      <c r="H91" s="5" t="s">
        <v>55</v>
      </c>
    </row>
    <row r="92" spans="1:8">
      <c r="A92" s="5" t="s">
        <v>14</v>
      </c>
      <c r="B92" s="5" t="s">
        <v>283</v>
      </c>
      <c r="C92" s="5">
        <v>5</v>
      </c>
      <c r="D92" s="6" t="s">
        <v>284</v>
      </c>
      <c r="E92" s="6" t="s">
        <v>285</v>
      </c>
      <c r="F92" s="5" t="s">
        <v>286</v>
      </c>
      <c r="G92" s="4" t="s">
        <v>54</v>
      </c>
      <c r="H92" s="5" t="s">
        <v>55</v>
      </c>
    </row>
    <row r="93" spans="1:8">
      <c r="A93" s="5" t="s">
        <v>14</v>
      </c>
      <c r="B93" s="5" t="s">
        <v>283</v>
      </c>
      <c r="C93" s="5">
        <v>6</v>
      </c>
      <c r="D93" s="6" t="s">
        <v>287</v>
      </c>
      <c r="E93" s="6" t="s">
        <v>288</v>
      </c>
      <c r="F93" s="5" t="s">
        <v>286</v>
      </c>
      <c r="G93" s="4" t="s">
        <v>54</v>
      </c>
      <c r="H93" s="5" t="s">
        <v>55</v>
      </c>
    </row>
    <row r="94" spans="1:8">
      <c r="A94" s="7" t="s">
        <v>15</v>
      </c>
      <c r="B94" s="7" t="s">
        <v>289</v>
      </c>
      <c r="C94" s="7">
        <v>1</v>
      </c>
      <c r="D94" s="8" t="s">
        <v>290</v>
      </c>
      <c r="E94" s="8" t="s">
        <v>291</v>
      </c>
      <c r="F94" s="7" t="s">
        <v>292</v>
      </c>
      <c r="G94" s="4" t="s">
        <v>54</v>
      </c>
      <c r="H94" s="7" t="s">
        <v>55</v>
      </c>
    </row>
    <row r="95" spans="1:8">
      <c r="A95" s="7" t="s">
        <v>15</v>
      </c>
      <c r="B95" s="7" t="s">
        <v>289</v>
      </c>
      <c r="C95" s="7">
        <v>2</v>
      </c>
      <c r="D95" s="8" t="s">
        <v>293</v>
      </c>
      <c r="E95" s="8" t="s">
        <v>294</v>
      </c>
      <c r="F95" s="7" t="s">
        <v>295</v>
      </c>
      <c r="G95" s="4" t="s">
        <v>54</v>
      </c>
      <c r="H95" s="7" t="s">
        <v>55</v>
      </c>
    </row>
    <row r="96" spans="1:8">
      <c r="A96" s="7" t="s">
        <v>15</v>
      </c>
      <c r="B96" s="7" t="s">
        <v>296</v>
      </c>
      <c r="C96" s="7">
        <v>3</v>
      </c>
      <c r="D96" s="8" t="s">
        <v>297</v>
      </c>
      <c r="E96" s="8" t="s">
        <v>298</v>
      </c>
      <c r="F96" s="7" t="s">
        <v>299</v>
      </c>
      <c r="G96" s="4" t="s">
        <v>54</v>
      </c>
      <c r="H96" s="7" t="s">
        <v>55</v>
      </c>
    </row>
    <row r="97" spans="1:8">
      <c r="A97" s="7" t="s">
        <v>15</v>
      </c>
      <c r="B97" s="7" t="s">
        <v>296</v>
      </c>
      <c r="C97" s="7">
        <v>4</v>
      </c>
      <c r="D97" s="8" t="s">
        <v>300</v>
      </c>
      <c r="E97" s="8" t="s">
        <v>301</v>
      </c>
      <c r="F97" s="7" t="s">
        <v>299</v>
      </c>
      <c r="G97" s="4" t="s">
        <v>54</v>
      </c>
      <c r="H97" s="7" t="s">
        <v>55</v>
      </c>
    </row>
    <row r="98" spans="1:8">
      <c r="A98" s="7" t="s">
        <v>15</v>
      </c>
      <c r="B98" s="7" t="s">
        <v>302</v>
      </c>
      <c r="C98" s="7">
        <v>5</v>
      </c>
      <c r="D98" s="8" t="s">
        <v>303</v>
      </c>
      <c r="E98" s="8" t="s">
        <v>304</v>
      </c>
      <c r="F98" s="7" t="s">
        <v>305</v>
      </c>
      <c r="G98" s="4" t="s">
        <v>54</v>
      </c>
      <c r="H98" s="7" t="s">
        <v>55</v>
      </c>
    </row>
    <row r="99" spans="1:8">
      <c r="A99" s="7" t="s">
        <v>15</v>
      </c>
      <c r="B99" s="7" t="s">
        <v>302</v>
      </c>
      <c r="C99" s="7">
        <v>6</v>
      </c>
      <c r="D99" s="8" t="s">
        <v>306</v>
      </c>
      <c r="E99" s="8" t="s">
        <v>307</v>
      </c>
      <c r="F99" s="7" t="s">
        <v>305</v>
      </c>
      <c r="G99" s="4" t="s">
        <v>54</v>
      </c>
      <c r="H99" s="7" t="s">
        <v>55</v>
      </c>
    </row>
    <row r="100" spans="1:8">
      <c r="A100" s="7" t="s">
        <v>15</v>
      </c>
      <c r="B100" s="7" t="s">
        <v>302</v>
      </c>
      <c r="C100" s="7">
        <v>7</v>
      </c>
      <c r="D100" s="8" t="s">
        <v>308</v>
      </c>
      <c r="E100" s="8" t="s">
        <v>309</v>
      </c>
      <c r="F100" s="7" t="s">
        <v>295</v>
      </c>
      <c r="G100" s="4" t="s">
        <v>54</v>
      </c>
      <c r="H100" s="7" t="s">
        <v>55</v>
      </c>
    </row>
    <row r="101" spans="1:8">
      <c r="A101" s="7" t="s">
        <v>15</v>
      </c>
      <c r="B101" s="7" t="s">
        <v>310</v>
      </c>
      <c r="C101" s="7">
        <v>8</v>
      </c>
      <c r="D101" s="8" t="s">
        <v>311</v>
      </c>
      <c r="E101" s="8" t="s">
        <v>312</v>
      </c>
      <c r="F101" s="7" t="s">
        <v>299</v>
      </c>
      <c r="G101" s="4" t="s">
        <v>54</v>
      </c>
      <c r="H101" s="7" t="s">
        <v>55</v>
      </c>
    </row>
    <row r="102" spans="1:8">
      <c r="A102" s="5" t="s">
        <v>16</v>
      </c>
      <c r="B102" s="5" t="s">
        <v>313</v>
      </c>
      <c r="C102" s="5">
        <v>1</v>
      </c>
      <c r="D102" s="6" t="s">
        <v>314</v>
      </c>
      <c r="E102" s="6" t="s">
        <v>315</v>
      </c>
      <c r="F102" s="5" t="s">
        <v>316</v>
      </c>
      <c r="G102" s="4" t="s">
        <v>54</v>
      </c>
      <c r="H102" s="5" t="s">
        <v>55</v>
      </c>
    </row>
    <row r="103" spans="1:8">
      <c r="A103" s="5" t="s">
        <v>16</v>
      </c>
      <c r="B103" s="5" t="s">
        <v>313</v>
      </c>
      <c r="C103" s="5">
        <v>2</v>
      </c>
      <c r="D103" s="6" t="s">
        <v>317</v>
      </c>
      <c r="E103" s="6" t="s">
        <v>318</v>
      </c>
      <c r="F103" s="5" t="s">
        <v>319</v>
      </c>
      <c r="G103" s="4" t="s">
        <v>54</v>
      </c>
      <c r="H103" s="5" t="s">
        <v>55</v>
      </c>
    </row>
    <row r="104" spans="1:8">
      <c r="A104" s="5" t="s">
        <v>16</v>
      </c>
      <c r="B104" s="5" t="s">
        <v>313</v>
      </c>
      <c r="C104" s="5">
        <v>3</v>
      </c>
      <c r="D104" s="6" t="s">
        <v>320</v>
      </c>
      <c r="E104" s="6" t="s">
        <v>321</v>
      </c>
      <c r="F104" s="5" t="s">
        <v>322</v>
      </c>
      <c r="G104" s="4" t="s">
        <v>54</v>
      </c>
      <c r="H104" s="5" t="s">
        <v>55</v>
      </c>
    </row>
    <row r="105" spans="1:8">
      <c r="A105" s="5" t="s">
        <v>16</v>
      </c>
      <c r="B105" s="5" t="s">
        <v>313</v>
      </c>
      <c r="C105" s="5">
        <v>4</v>
      </c>
      <c r="D105" s="6" t="s">
        <v>323</v>
      </c>
      <c r="E105" s="6" t="s">
        <v>324</v>
      </c>
      <c r="F105" s="5" t="s">
        <v>325</v>
      </c>
      <c r="G105" s="4" t="s">
        <v>54</v>
      </c>
      <c r="H105" s="5" t="s">
        <v>55</v>
      </c>
    </row>
    <row r="106" spans="1:8">
      <c r="A106" s="5" t="s">
        <v>16</v>
      </c>
      <c r="B106" s="5" t="s">
        <v>313</v>
      </c>
      <c r="C106" s="5">
        <v>5</v>
      </c>
      <c r="D106" s="6" t="s">
        <v>326</v>
      </c>
      <c r="E106" s="6" t="s">
        <v>327</v>
      </c>
      <c r="F106" s="5" t="s">
        <v>328</v>
      </c>
      <c r="G106" s="4" t="s">
        <v>54</v>
      </c>
      <c r="H106" s="5" t="s">
        <v>55</v>
      </c>
    </row>
    <row r="107" spans="1:8">
      <c r="A107" s="5" t="s">
        <v>16</v>
      </c>
      <c r="B107" s="5" t="s">
        <v>329</v>
      </c>
      <c r="C107" s="5">
        <v>6</v>
      </c>
      <c r="D107" s="6" t="s">
        <v>330</v>
      </c>
      <c r="E107" s="6" t="s">
        <v>331</v>
      </c>
      <c r="F107" s="5" t="s">
        <v>332</v>
      </c>
      <c r="G107" s="4" t="s">
        <v>54</v>
      </c>
      <c r="H107" s="5" t="s">
        <v>55</v>
      </c>
    </row>
    <row r="108" spans="1:8">
      <c r="A108" s="5" t="s">
        <v>16</v>
      </c>
      <c r="B108" s="5" t="s">
        <v>329</v>
      </c>
      <c r="C108" s="5">
        <v>7</v>
      </c>
      <c r="D108" s="6" t="s">
        <v>333</v>
      </c>
      <c r="E108" s="6" t="s">
        <v>334</v>
      </c>
      <c r="F108" s="5" t="s">
        <v>90</v>
      </c>
      <c r="G108" s="4" t="s">
        <v>54</v>
      </c>
      <c r="H108" s="5" t="s">
        <v>55</v>
      </c>
    </row>
    <row r="109" spans="1:8">
      <c r="A109" s="5" t="s">
        <v>16</v>
      </c>
      <c r="B109" s="5" t="s">
        <v>329</v>
      </c>
      <c r="C109" s="5">
        <v>8</v>
      </c>
      <c r="D109" s="6" t="s">
        <v>335</v>
      </c>
      <c r="E109" s="6" t="s">
        <v>336</v>
      </c>
      <c r="F109" s="5" t="s">
        <v>90</v>
      </c>
      <c r="G109" s="4" t="s">
        <v>54</v>
      </c>
      <c r="H109" s="5" t="s">
        <v>55</v>
      </c>
    </row>
    <row r="110" spans="1:8">
      <c r="A110" s="5" t="s">
        <v>16</v>
      </c>
      <c r="B110" s="5" t="s">
        <v>337</v>
      </c>
      <c r="C110" s="5">
        <v>9</v>
      </c>
      <c r="D110" s="6" t="s">
        <v>338</v>
      </c>
      <c r="E110" s="6" t="s">
        <v>339</v>
      </c>
      <c r="F110" s="5" t="s">
        <v>340</v>
      </c>
      <c r="G110" s="4" t="s">
        <v>54</v>
      </c>
      <c r="H110" s="5" t="s">
        <v>55</v>
      </c>
    </row>
    <row r="111" spans="1:8">
      <c r="A111" s="5" t="s">
        <v>16</v>
      </c>
      <c r="B111" s="5" t="s">
        <v>337</v>
      </c>
      <c r="C111" s="5">
        <v>10</v>
      </c>
      <c r="D111" s="6" t="s">
        <v>341</v>
      </c>
      <c r="E111" s="6" t="s">
        <v>342</v>
      </c>
      <c r="F111" s="5" t="s">
        <v>316</v>
      </c>
      <c r="G111" s="4" t="s">
        <v>54</v>
      </c>
      <c r="H111" s="5" t="s">
        <v>55</v>
      </c>
    </row>
    <row r="112" spans="1:8">
      <c r="A112" s="7" t="s">
        <v>17</v>
      </c>
      <c r="B112" s="7" t="s">
        <v>343</v>
      </c>
      <c r="C112" s="7">
        <v>1</v>
      </c>
      <c r="D112" s="8" t="s">
        <v>344</v>
      </c>
      <c r="E112" s="8" t="s">
        <v>345</v>
      </c>
      <c r="F112" s="7" t="s">
        <v>346</v>
      </c>
      <c r="G112" s="4" t="s">
        <v>54</v>
      </c>
      <c r="H112" s="7" t="s">
        <v>55</v>
      </c>
    </row>
    <row r="113" spans="1:8">
      <c r="A113" s="7" t="s">
        <v>17</v>
      </c>
      <c r="B113" s="7" t="s">
        <v>343</v>
      </c>
      <c r="C113" s="7">
        <v>2</v>
      </c>
      <c r="D113" s="8" t="s">
        <v>347</v>
      </c>
      <c r="E113" s="8" t="s">
        <v>348</v>
      </c>
      <c r="F113" s="7" t="s">
        <v>346</v>
      </c>
      <c r="G113" s="4" t="s">
        <v>54</v>
      </c>
      <c r="H113" s="7" t="s">
        <v>55</v>
      </c>
    </row>
    <row r="114" spans="1:8">
      <c r="A114" s="7" t="s">
        <v>17</v>
      </c>
      <c r="B114" s="7" t="s">
        <v>349</v>
      </c>
      <c r="C114" s="7">
        <v>3</v>
      </c>
      <c r="D114" s="8" t="s">
        <v>350</v>
      </c>
      <c r="E114" s="8" t="s">
        <v>351</v>
      </c>
      <c r="F114" s="7" t="s">
        <v>346</v>
      </c>
      <c r="G114" s="4" t="s">
        <v>54</v>
      </c>
      <c r="H114" s="7" t="s">
        <v>55</v>
      </c>
    </row>
    <row r="115" spans="1:8">
      <c r="A115" s="7" t="s">
        <v>17</v>
      </c>
      <c r="B115" s="7" t="s">
        <v>349</v>
      </c>
      <c r="C115" s="7">
        <v>4</v>
      </c>
      <c r="D115" s="8" t="s">
        <v>352</v>
      </c>
      <c r="E115" s="8" t="s">
        <v>353</v>
      </c>
      <c r="F115" s="7" t="s">
        <v>354</v>
      </c>
      <c r="G115" s="4" t="s">
        <v>54</v>
      </c>
      <c r="H115" s="7" t="s">
        <v>55</v>
      </c>
    </row>
    <row r="116" spans="1:8">
      <c r="A116" s="5" t="s">
        <v>18</v>
      </c>
      <c r="B116" s="5" t="s">
        <v>355</v>
      </c>
      <c r="C116" s="5">
        <v>1</v>
      </c>
      <c r="D116" s="6" t="s">
        <v>356</v>
      </c>
      <c r="E116" s="6" t="s">
        <v>357</v>
      </c>
      <c r="F116" s="5" t="s">
        <v>358</v>
      </c>
      <c r="G116" s="4" t="s">
        <v>54</v>
      </c>
      <c r="H116" s="5" t="s">
        <v>55</v>
      </c>
    </row>
    <row r="117" spans="1:8">
      <c r="A117" s="5" t="s">
        <v>18</v>
      </c>
      <c r="B117" s="5" t="s">
        <v>355</v>
      </c>
      <c r="C117" s="5">
        <v>2</v>
      </c>
      <c r="D117" s="6" t="s">
        <v>359</v>
      </c>
      <c r="E117" s="6" t="s">
        <v>360</v>
      </c>
      <c r="F117" s="5" t="s">
        <v>361</v>
      </c>
      <c r="G117" s="4" t="s">
        <v>54</v>
      </c>
      <c r="H117" s="5" t="s">
        <v>55</v>
      </c>
    </row>
    <row r="118" spans="1:8">
      <c r="A118" s="5" t="s">
        <v>18</v>
      </c>
      <c r="B118" s="5" t="s">
        <v>362</v>
      </c>
      <c r="C118" s="5">
        <v>3</v>
      </c>
      <c r="D118" s="6" t="s">
        <v>363</v>
      </c>
      <c r="E118" s="6" t="s">
        <v>364</v>
      </c>
      <c r="F118" s="5" t="s">
        <v>365</v>
      </c>
      <c r="G118" s="4" t="s">
        <v>54</v>
      </c>
      <c r="H118" s="5" t="s">
        <v>55</v>
      </c>
    </row>
    <row r="119" spans="1:8">
      <c r="A119" s="5" t="s">
        <v>18</v>
      </c>
      <c r="B119" s="5" t="s">
        <v>362</v>
      </c>
      <c r="C119" s="5">
        <v>4</v>
      </c>
      <c r="D119" s="6" t="s">
        <v>366</v>
      </c>
      <c r="E119" s="6" t="s">
        <v>367</v>
      </c>
      <c r="F119" s="5" t="s">
        <v>368</v>
      </c>
      <c r="G119" s="4" t="s">
        <v>54</v>
      </c>
      <c r="H119" s="5" t="s">
        <v>55</v>
      </c>
    </row>
    <row r="120" spans="1:8">
      <c r="A120" s="5" t="s">
        <v>18</v>
      </c>
      <c r="B120" s="5" t="s">
        <v>369</v>
      </c>
      <c r="C120" s="5">
        <v>5</v>
      </c>
      <c r="D120" s="6" t="s">
        <v>370</v>
      </c>
      <c r="E120" s="6" t="s">
        <v>371</v>
      </c>
      <c r="F120" s="5" t="s">
        <v>372</v>
      </c>
      <c r="G120" s="4" t="s">
        <v>54</v>
      </c>
      <c r="H120" s="5" t="s">
        <v>55</v>
      </c>
    </row>
    <row r="121" spans="1:8">
      <c r="A121" s="5" t="s">
        <v>18</v>
      </c>
      <c r="B121" s="5" t="s">
        <v>369</v>
      </c>
      <c r="C121" s="5">
        <v>6</v>
      </c>
      <c r="D121" s="6" t="s">
        <v>373</v>
      </c>
      <c r="E121" s="6" t="s">
        <v>374</v>
      </c>
      <c r="F121" s="5" t="s">
        <v>375</v>
      </c>
      <c r="G121" s="4" t="s">
        <v>54</v>
      </c>
      <c r="H121" s="5" t="s">
        <v>55</v>
      </c>
    </row>
  </sheetData>
  <autoFilter xmlns:etc="http://www.wps.cn/officeDocument/2017/etCustomData" ref="A1:H12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4"/>
  <cols>
    <col min="1" max="1" width="5" customWidth="1"/>
    <col min="2" max="2" width="24" customWidth="1"/>
    <col min="3" max="3" width="48" customWidth="1"/>
    <col min="4" max="4" width="14" customWidth="1"/>
    <col min="5" max="5" width="24" customWidth="1"/>
  </cols>
  <sheetData>
    <row r="1" ht="28" customHeight="1" spans="1:5">
      <c r="A1" s="1" t="s">
        <v>44</v>
      </c>
      <c r="B1" s="1" t="s">
        <v>376</v>
      </c>
      <c r="C1" s="1" t="s">
        <v>377</v>
      </c>
      <c r="D1" s="1" t="s">
        <v>48</v>
      </c>
      <c r="E1" s="1" t="s">
        <v>49</v>
      </c>
    </row>
    <row r="2" spans="1:5">
      <c r="A2" s="2">
        <v>1</v>
      </c>
      <c r="B2" s="3" t="s">
        <v>378</v>
      </c>
      <c r="C2" s="3" t="s">
        <v>379</v>
      </c>
      <c r="D2" s="4" t="s">
        <v>54</v>
      </c>
      <c r="E2" s="3" t="s">
        <v>55</v>
      </c>
    </row>
    <row r="3" spans="1:5">
      <c r="A3" s="2">
        <v>2</v>
      </c>
      <c r="B3" s="3" t="s">
        <v>380</v>
      </c>
      <c r="C3" s="3" t="s">
        <v>381</v>
      </c>
      <c r="D3" s="4" t="s">
        <v>54</v>
      </c>
      <c r="E3" s="3" t="s">
        <v>55</v>
      </c>
    </row>
    <row r="4" spans="1:5">
      <c r="A4" s="2">
        <v>3</v>
      </c>
      <c r="B4" s="3" t="s">
        <v>382</v>
      </c>
      <c r="C4" s="3" t="s">
        <v>383</v>
      </c>
      <c r="D4" s="4" t="s">
        <v>54</v>
      </c>
      <c r="E4" s="3" t="s">
        <v>55</v>
      </c>
    </row>
    <row r="5" spans="1:5">
      <c r="A5" s="2">
        <v>4</v>
      </c>
      <c r="B5" s="3" t="s">
        <v>384</v>
      </c>
      <c r="C5" s="3" t="s">
        <v>385</v>
      </c>
      <c r="D5" s="4" t="s">
        <v>54</v>
      </c>
      <c r="E5" s="3" t="s">
        <v>55</v>
      </c>
    </row>
    <row r="6" spans="1:5">
      <c r="A6" s="2">
        <v>5</v>
      </c>
      <c r="B6" s="3" t="s">
        <v>386</v>
      </c>
      <c r="C6" s="3" t="s">
        <v>387</v>
      </c>
      <c r="D6" s="4" t="s">
        <v>54</v>
      </c>
      <c r="E6" s="3" t="s">
        <v>55</v>
      </c>
    </row>
    <row r="7" spans="1:5">
      <c r="A7" s="2">
        <v>6</v>
      </c>
      <c r="B7" s="3" t="s">
        <v>388</v>
      </c>
      <c r="C7" s="3" t="s">
        <v>389</v>
      </c>
      <c r="D7" s="4" t="s">
        <v>54</v>
      </c>
      <c r="E7" s="3" t="s">
        <v>55</v>
      </c>
    </row>
    <row r="8" spans="1:5">
      <c r="A8" s="2">
        <v>7</v>
      </c>
      <c r="B8" s="3" t="s">
        <v>390</v>
      </c>
      <c r="C8" s="3" t="s">
        <v>391</v>
      </c>
      <c r="D8" s="4" t="s">
        <v>54</v>
      </c>
      <c r="E8" s="3" t="s">
        <v>55</v>
      </c>
    </row>
    <row r="9" spans="1:5">
      <c r="A9" s="2">
        <v>8</v>
      </c>
      <c r="B9" s="3" t="s">
        <v>392</v>
      </c>
      <c r="C9" s="3" t="s">
        <v>393</v>
      </c>
      <c r="D9" s="4" t="s">
        <v>54</v>
      </c>
      <c r="E9" s="3" t="s">
        <v>55</v>
      </c>
    </row>
  </sheetData>
  <autoFilter xmlns:etc="http://www.wps.cn/officeDocument/2017/etCustomData" ref="A1:E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审核清单(L1-L9)</vt:lpstr>
      <vt:lpstr>升级快检（粗审）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Leoslampa</cp:lastModifiedBy>
  <dcterms:created xsi:type="dcterms:W3CDTF">2026-08-10T11:17:00Z</dcterms:created>
  <dcterms:modified xsi:type="dcterms:W3CDTF">2026-08-10T11:34:46Z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25500844E9F16512D646796A00096BB2_42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